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9BCBF94-2BDC-4989-B290-AA39C72ADF56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Executive Summary" sheetId="1" r:id="rId1"/>
    <sheet name="Assumptions" sheetId="2" r:id="rId2"/>
    <sheet name="Income Statement" sheetId="3" r:id="rId3"/>
    <sheet name="Balance Sheet" sheetId="4" r:id="rId4"/>
    <sheet name="Cash Flow Statement" sheetId="5" r:id="rId5"/>
    <sheet name="Working Capital" sheetId="6" r:id="rId6"/>
    <sheet name="Debt Schedule" sheetId="7" r:id="rId7"/>
    <sheet name="DCF" sheetId="8" r:id="rId8"/>
    <sheet name="Comps" sheetId="9" r:id="rId9"/>
    <sheet name="IS_Raw" sheetId="10" r:id="rId10"/>
    <sheet name="BS_Raw" sheetId="11" r:id="rId11"/>
    <sheet name="CF_Raw" sheetId="12" r:id="rId1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1" l="1"/>
  <c r="G31" i="11"/>
  <c r="F31" i="11"/>
  <c r="E31" i="11"/>
  <c r="D31" i="11"/>
  <c r="C31" i="11"/>
  <c r="F29" i="10"/>
  <c r="H28" i="10"/>
  <c r="H29" i="10" s="1"/>
  <c r="G28" i="10"/>
  <c r="G29" i="10" s="1"/>
  <c r="F28" i="10"/>
  <c r="E28" i="10"/>
  <c r="E29" i="10" s="1"/>
  <c r="D28" i="10"/>
  <c r="D29" i="10" s="1"/>
  <c r="C28" i="10"/>
  <c r="C29" i="10" s="1"/>
  <c r="H27" i="10"/>
  <c r="G27" i="10"/>
  <c r="F27" i="10"/>
  <c r="E27" i="10"/>
  <c r="D27" i="10"/>
  <c r="C27" i="10"/>
  <c r="C37" i="8"/>
  <c r="C24" i="8"/>
  <c r="G17" i="8"/>
  <c r="G19" i="8" s="1"/>
  <c r="G12" i="8"/>
  <c r="D12" i="8"/>
  <c r="G11" i="8"/>
  <c r="F11" i="8"/>
  <c r="E11" i="8"/>
  <c r="D11" i="8"/>
  <c r="C11" i="8"/>
  <c r="K15" i="7"/>
  <c r="J15" i="7"/>
  <c r="I15" i="7"/>
  <c r="H15" i="7"/>
  <c r="G15" i="7"/>
  <c r="G10" i="7"/>
  <c r="G8" i="7"/>
  <c r="F25" i="6"/>
  <c r="E25" i="6"/>
  <c r="D25" i="6"/>
  <c r="D27" i="6" s="1"/>
  <c r="D28" i="6" s="1"/>
  <c r="C25" i="6"/>
  <c r="F21" i="6"/>
  <c r="F27" i="6" s="1"/>
  <c r="E21" i="6"/>
  <c r="E27" i="6" s="1"/>
  <c r="E28" i="6" s="1"/>
  <c r="D21" i="6"/>
  <c r="C21" i="6"/>
  <c r="C27" i="6" s="1"/>
  <c r="H20" i="6"/>
  <c r="H10" i="4" s="1"/>
  <c r="K15" i="6"/>
  <c r="J15" i="6"/>
  <c r="I15" i="6"/>
  <c r="H15" i="6"/>
  <c r="G15" i="6"/>
  <c r="F15" i="6"/>
  <c r="E15" i="6"/>
  <c r="D15" i="6"/>
  <c r="C15" i="6"/>
  <c r="K14" i="6"/>
  <c r="J14" i="6"/>
  <c r="I14" i="6"/>
  <c r="H14" i="6"/>
  <c r="G14" i="6"/>
  <c r="F14" i="6"/>
  <c r="E14" i="6"/>
  <c r="D14" i="6"/>
  <c r="C14" i="6"/>
  <c r="K13" i="6"/>
  <c r="J13" i="6"/>
  <c r="I13" i="6"/>
  <c r="H13" i="6"/>
  <c r="G13" i="6"/>
  <c r="F13" i="6"/>
  <c r="E13" i="6"/>
  <c r="D13" i="6"/>
  <c r="C13" i="6"/>
  <c r="K12" i="6"/>
  <c r="J12" i="6"/>
  <c r="I12" i="6"/>
  <c r="H12" i="6"/>
  <c r="G12" i="6"/>
  <c r="F12" i="6"/>
  <c r="E12" i="6"/>
  <c r="D12" i="6"/>
  <c r="C12" i="6"/>
  <c r="K11" i="6"/>
  <c r="J11" i="6"/>
  <c r="I11" i="6"/>
  <c r="H11" i="6"/>
  <c r="G11" i="6"/>
  <c r="F11" i="6"/>
  <c r="E11" i="6"/>
  <c r="D11" i="6"/>
  <c r="C11" i="6"/>
  <c r="H9" i="6"/>
  <c r="F9" i="6"/>
  <c r="E9" i="6"/>
  <c r="D9" i="6"/>
  <c r="C9" i="6"/>
  <c r="K8" i="6"/>
  <c r="K20" i="6" s="1"/>
  <c r="K10" i="4" s="1"/>
  <c r="H8" i="6"/>
  <c r="F8" i="6"/>
  <c r="E8" i="6"/>
  <c r="D8" i="6"/>
  <c r="C8" i="6"/>
  <c r="C28" i="5"/>
  <c r="E26" i="5"/>
  <c r="E28" i="5" s="1"/>
  <c r="H24" i="5"/>
  <c r="F24" i="5"/>
  <c r="E24" i="5"/>
  <c r="D24" i="5"/>
  <c r="C24" i="5"/>
  <c r="K23" i="5"/>
  <c r="J23" i="5"/>
  <c r="I23" i="5"/>
  <c r="H23" i="5"/>
  <c r="G23" i="5"/>
  <c r="G24" i="5" s="1"/>
  <c r="K22" i="5"/>
  <c r="J22" i="5"/>
  <c r="J24" i="5" s="1"/>
  <c r="I22" i="5"/>
  <c r="H22" i="5"/>
  <c r="G22" i="5"/>
  <c r="K21" i="5"/>
  <c r="J21" i="5"/>
  <c r="I21" i="5"/>
  <c r="I24" i="5" s="1"/>
  <c r="H21" i="5"/>
  <c r="G21" i="5"/>
  <c r="J18" i="5"/>
  <c r="F18" i="5"/>
  <c r="E18" i="5"/>
  <c r="D18" i="5"/>
  <c r="C18" i="5"/>
  <c r="K17" i="5"/>
  <c r="K18" i="5" s="1"/>
  <c r="J17" i="5"/>
  <c r="G17" i="5"/>
  <c r="G18" i="5" s="1"/>
  <c r="F14" i="5"/>
  <c r="F26" i="5" s="1"/>
  <c r="F28" i="5" s="1"/>
  <c r="G27" i="5" s="1"/>
  <c r="E14" i="5"/>
  <c r="D14" i="5"/>
  <c r="D26" i="5" s="1"/>
  <c r="D28" i="5" s="1"/>
  <c r="C14" i="5"/>
  <c r="C26" i="5" s="1"/>
  <c r="K10" i="5"/>
  <c r="J10" i="5"/>
  <c r="I10" i="5"/>
  <c r="H10" i="5"/>
  <c r="G10" i="5"/>
  <c r="K9" i="5"/>
  <c r="J9" i="5"/>
  <c r="I9" i="5"/>
  <c r="H9" i="5"/>
  <c r="G9" i="5"/>
  <c r="F28" i="4"/>
  <c r="F25" i="4"/>
  <c r="D25" i="4"/>
  <c r="D28" i="4" s="1"/>
  <c r="J24" i="4"/>
  <c r="K24" i="4" s="1"/>
  <c r="G24" i="4"/>
  <c r="H24" i="4" s="1"/>
  <c r="I24" i="4" s="1"/>
  <c r="F22" i="4"/>
  <c r="E22" i="4"/>
  <c r="E25" i="4" s="1"/>
  <c r="E28" i="4" s="1"/>
  <c r="D22" i="4"/>
  <c r="C22" i="4"/>
  <c r="C25" i="4" s="1"/>
  <c r="C28" i="4" s="1"/>
  <c r="D17" i="4"/>
  <c r="D30" i="4" s="1"/>
  <c r="C16" i="4"/>
  <c r="C17" i="4" s="1"/>
  <c r="C30" i="4" s="1"/>
  <c r="I15" i="4"/>
  <c r="J15" i="4" s="1"/>
  <c r="K15" i="4" s="1"/>
  <c r="H15" i="4"/>
  <c r="G15" i="4"/>
  <c r="I14" i="4"/>
  <c r="J14" i="4" s="1"/>
  <c r="K14" i="4" s="1"/>
  <c r="H14" i="4"/>
  <c r="G14" i="4"/>
  <c r="F11" i="4"/>
  <c r="F16" i="4" s="1"/>
  <c r="F17" i="4" s="1"/>
  <c r="F30" i="4" s="1"/>
  <c r="E11" i="4"/>
  <c r="D11" i="4"/>
  <c r="D16" i="4" s="1"/>
  <c r="C11" i="4"/>
  <c r="K29" i="3"/>
  <c r="J29" i="3"/>
  <c r="I29" i="3"/>
  <c r="H29" i="3"/>
  <c r="G29" i="3"/>
  <c r="K27" i="3"/>
  <c r="J27" i="3"/>
  <c r="I27" i="3"/>
  <c r="H27" i="3"/>
  <c r="G27" i="3"/>
  <c r="F24" i="3"/>
  <c r="D21" i="3"/>
  <c r="D23" i="3" s="1"/>
  <c r="K20" i="3"/>
  <c r="J20" i="3"/>
  <c r="I20" i="3"/>
  <c r="H20" i="3"/>
  <c r="G20" i="3"/>
  <c r="K19" i="3"/>
  <c r="J19" i="3"/>
  <c r="I19" i="3"/>
  <c r="H19" i="3"/>
  <c r="G19" i="3"/>
  <c r="K18" i="3"/>
  <c r="J18" i="3"/>
  <c r="I18" i="3"/>
  <c r="H18" i="3"/>
  <c r="G18" i="3"/>
  <c r="K17" i="3"/>
  <c r="J17" i="3"/>
  <c r="I17" i="3"/>
  <c r="H17" i="3"/>
  <c r="G17" i="3"/>
  <c r="F15" i="3"/>
  <c r="D15" i="3"/>
  <c r="F14" i="3"/>
  <c r="F21" i="3" s="1"/>
  <c r="F23" i="3" s="1"/>
  <c r="C14" i="3"/>
  <c r="C21" i="3" s="1"/>
  <c r="C23" i="3" s="1"/>
  <c r="J13" i="3"/>
  <c r="I13" i="3"/>
  <c r="K12" i="3"/>
  <c r="H12" i="3"/>
  <c r="F10" i="3"/>
  <c r="F9" i="3"/>
  <c r="E9" i="3"/>
  <c r="D9" i="3"/>
  <c r="D14" i="3" s="1"/>
  <c r="C9" i="3"/>
  <c r="C10" i="3" s="1"/>
  <c r="J8" i="3"/>
  <c r="J9" i="6" s="1"/>
  <c r="J23" i="6" s="1"/>
  <c r="H8" i="3"/>
  <c r="G8" i="3"/>
  <c r="G9" i="6" s="1"/>
  <c r="G23" i="6" s="1"/>
  <c r="K7" i="3"/>
  <c r="K13" i="3" s="1"/>
  <c r="J7" i="3"/>
  <c r="J12" i="3" s="1"/>
  <c r="I7" i="3"/>
  <c r="H7" i="3"/>
  <c r="H13" i="3" s="1"/>
  <c r="G7" i="3"/>
  <c r="D16" i="1" s="1"/>
  <c r="C54" i="2"/>
  <c r="C53" i="2"/>
  <c r="C52" i="2"/>
  <c r="C51" i="2"/>
  <c r="J16" i="2"/>
  <c r="F16" i="2"/>
  <c r="D16" i="2"/>
  <c r="K15" i="2"/>
  <c r="K16" i="2" s="1"/>
  <c r="J15" i="2"/>
  <c r="I15" i="2"/>
  <c r="I16" i="2" s="1"/>
  <c r="H15" i="2"/>
  <c r="H16" i="2" s="1"/>
  <c r="G15" i="2"/>
  <c r="G16" i="2" s="1"/>
  <c r="F15" i="2"/>
  <c r="E15" i="2"/>
  <c r="E16" i="2" s="1"/>
  <c r="D15" i="2"/>
  <c r="C15" i="2"/>
  <c r="C16" i="2" s="1"/>
  <c r="K9" i="2"/>
  <c r="J9" i="2"/>
  <c r="I9" i="2"/>
  <c r="H9" i="2"/>
  <c r="G9" i="2"/>
  <c r="F9" i="2"/>
  <c r="E9" i="2"/>
  <c r="D9" i="2"/>
  <c r="C20" i="1"/>
  <c r="C18" i="1"/>
  <c r="C17" i="1"/>
  <c r="E16" i="1"/>
  <c r="C16" i="1"/>
  <c r="K15" i="9"/>
  <c r="I15" i="9"/>
  <c r="H15" i="9"/>
  <c r="L14" i="9"/>
  <c r="J14" i="9"/>
  <c r="H14" i="9"/>
  <c r="G14" i="9"/>
  <c r="F14" i="9"/>
  <c r="E14" i="9"/>
  <c r="D14" i="9"/>
  <c r="L13" i="9"/>
  <c r="K13" i="9"/>
  <c r="J13" i="9"/>
  <c r="H13" i="9"/>
  <c r="G13" i="9"/>
  <c r="F13" i="9"/>
  <c r="E13" i="9"/>
  <c r="D13" i="9"/>
  <c r="K11" i="9"/>
  <c r="K14" i="9" s="1"/>
  <c r="I11" i="9"/>
  <c r="I14" i="9" s="1"/>
  <c r="C18" i="9" s="1"/>
  <c r="C20" i="9" s="1"/>
  <c r="C22" i="9" s="1"/>
  <c r="C25" i="1" s="1"/>
  <c r="D25" i="1" s="1"/>
  <c r="C24" i="3" l="1"/>
  <c r="C25" i="3"/>
  <c r="I8" i="3"/>
  <c r="I9" i="6" s="1"/>
  <c r="F16" i="1"/>
  <c r="I17" i="5"/>
  <c r="I18" i="5" s="1"/>
  <c r="E12" i="8"/>
  <c r="I8" i="6"/>
  <c r="F25" i="3"/>
  <c r="C19" i="1" s="1"/>
  <c r="G13" i="4"/>
  <c r="H13" i="4" s="1"/>
  <c r="I13" i="4" s="1"/>
  <c r="J13" i="4" s="1"/>
  <c r="K13" i="4" s="1"/>
  <c r="G18" i="7"/>
  <c r="H8" i="7"/>
  <c r="G23" i="4"/>
  <c r="I13" i="9"/>
  <c r="D10" i="3"/>
  <c r="I12" i="3"/>
  <c r="E14" i="3"/>
  <c r="E10" i="3"/>
  <c r="G20" i="4"/>
  <c r="H18" i="6"/>
  <c r="H24" i="6"/>
  <c r="H21" i="4" s="1"/>
  <c r="H23" i="6"/>
  <c r="H19" i="6"/>
  <c r="H9" i="4" s="1"/>
  <c r="J9" i="3"/>
  <c r="C15" i="3"/>
  <c r="J20" i="4"/>
  <c r="K18" i="6"/>
  <c r="K24" i="6"/>
  <c r="K21" i="4" s="1"/>
  <c r="G19" i="6"/>
  <c r="G9" i="4" s="1"/>
  <c r="F17" i="8"/>
  <c r="F19" i="8" s="1"/>
  <c r="E17" i="8"/>
  <c r="E19" i="8" s="1"/>
  <c r="C17" i="8"/>
  <c r="C19" i="8" s="1"/>
  <c r="C25" i="8"/>
  <c r="C12" i="8"/>
  <c r="G8" i="6"/>
  <c r="G12" i="3"/>
  <c r="G13" i="3"/>
  <c r="G9" i="3"/>
  <c r="D24" i="3"/>
  <c r="D25" i="3" s="1"/>
  <c r="K24" i="5"/>
  <c r="J19" i="6"/>
  <c r="J9" i="4" s="1"/>
  <c r="F28" i="6"/>
  <c r="G13" i="7"/>
  <c r="G14" i="7" s="1"/>
  <c r="G22" i="3" s="1"/>
  <c r="D17" i="8"/>
  <c r="D19" i="8" s="1"/>
  <c r="K8" i="3"/>
  <c r="H9" i="3"/>
  <c r="H17" i="5"/>
  <c r="H18" i="5" s="1"/>
  <c r="E16" i="4"/>
  <c r="E17" i="4" s="1"/>
  <c r="E30" i="4" s="1"/>
  <c r="J8" i="6"/>
  <c r="F12" i="8"/>
  <c r="I19" i="6" l="1"/>
  <c r="I9" i="4" s="1"/>
  <c r="I23" i="6"/>
  <c r="I24" i="6"/>
  <c r="I21" i="4" s="1"/>
  <c r="I20" i="6"/>
  <c r="I10" i="4" s="1"/>
  <c r="I18" i="6"/>
  <c r="H14" i="3"/>
  <c r="H10" i="3"/>
  <c r="G18" i="6"/>
  <c r="G20" i="6"/>
  <c r="G10" i="4" s="1"/>
  <c r="G24" i="6"/>
  <c r="J14" i="3"/>
  <c r="J10" i="3"/>
  <c r="H21" i="6"/>
  <c r="H27" i="6" s="1"/>
  <c r="H8" i="4"/>
  <c r="H10" i="7"/>
  <c r="H13" i="7"/>
  <c r="H14" i="7" s="1"/>
  <c r="H22" i="3" s="1"/>
  <c r="I9" i="3"/>
  <c r="H25" i="6"/>
  <c r="H20" i="4"/>
  <c r="H22" i="4" s="1"/>
  <c r="E15" i="3"/>
  <c r="E21" i="3"/>
  <c r="E23" i="3" s="1"/>
  <c r="K9" i="6"/>
  <c r="K9" i="3"/>
  <c r="J20" i="6"/>
  <c r="J10" i="4" s="1"/>
  <c r="J18" i="6"/>
  <c r="J24" i="6"/>
  <c r="G10" i="3"/>
  <c r="G14" i="3"/>
  <c r="K8" i="4"/>
  <c r="I25" i="6" l="1"/>
  <c r="I20" i="4"/>
  <c r="I22" i="4" s="1"/>
  <c r="K14" i="3"/>
  <c r="K10" i="3"/>
  <c r="H15" i="3"/>
  <c r="E18" i="1" s="1"/>
  <c r="E17" i="1"/>
  <c r="H21" i="3"/>
  <c r="G15" i="3"/>
  <c r="D18" i="1" s="1"/>
  <c r="D17" i="1"/>
  <c r="G21" i="3"/>
  <c r="K23" i="6"/>
  <c r="K19" i="6"/>
  <c r="I10" i="3"/>
  <c r="I14" i="3"/>
  <c r="J21" i="3"/>
  <c r="J15" i="3"/>
  <c r="I8" i="4"/>
  <c r="I21" i="6"/>
  <c r="G21" i="4"/>
  <c r="G22" i="4" s="1"/>
  <c r="G25" i="4" s="1"/>
  <c r="G25" i="6"/>
  <c r="J21" i="4"/>
  <c r="J22" i="4" s="1"/>
  <c r="J25" i="6"/>
  <c r="E24" i="3"/>
  <c r="E25" i="3"/>
  <c r="H23" i="4"/>
  <c r="H25" i="4" s="1"/>
  <c r="H18" i="7"/>
  <c r="I8" i="7"/>
  <c r="J21" i="6"/>
  <c r="J27" i="6" s="1"/>
  <c r="J8" i="4"/>
  <c r="G21" i="6"/>
  <c r="G27" i="6" s="1"/>
  <c r="G28" i="6" s="1"/>
  <c r="G8" i="4"/>
  <c r="D8" i="8" l="1"/>
  <c r="H23" i="3"/>
  <c r="C13" i="8"/>
  <c r="G12" i="5"/>
  <c r="I27" i="6"/>
  <c r="I28" i="6" s="1"/>
  <c r="K9" i="4"/>
  <c r="K21" i="6"/>
  <c r="K27" i="6" s="1"/>
  <c r="K28" i="6" s="1"/>
  <c r="H28" i="6"/>
  <c r="K25" i="6"/>
  <c r="K20" i="4"/>
  <c r="K22" i="4" s="1"/>
  <c r="J28" i="6"/>
  <c r="G23" i="3"/>
  <c r="C8" i="8"/>
  <c r="I10" i="7"/>
  <c r="I13" i="7"/>
  <c r="I14" i="7" s="1"/>
  <c r="I22" i="3" s="1"/>
  <c r="F8" i="8"/>
  <c r="K15" i="3"/>
  <c r="K21" i="3"/>
  <c r="I21" i="3"/>
  <c r="F17" i="1"/>
  <c r="I15" i="3"/>
  <c r="F18" i="1" s="1"/>
  <c r="G13" i="8" l="1"/>
  <c r="K12" i="5"/>
  <c r="D9" i="8"/>
  <c r="D10" i="8" s="1"/>
  <c r="D14" i="8" s="1"/>
  <c r="D20" i="8" s="1"/>
  <c r="F9" i="8"/>
  <c r="F10" i="8"/>
  <c r="F14" i="8" s="1"/>
  <c r="F20" i="8" s="1"/>
  <c r="F13" i="8"/>
  <c r="J12" i="5"/>
  <c r="E13" i="8"/>
  <c r="I12" i="5"/>
  <c r="E8" i="8"/>
  <c r="I23" i="3"/>
  <c r="G8" i="8"/>
  <c r="I18" i="7"/>
  <c r="J8" i="7"/>
  <c r="I23" i="4"/>
  <c r="I25" i="4" s="1"/>
  <c r="D13" i="8"/>
  <c r="H12" i="5"/>
  <c r="H24" i="3"/>
  <c r="H25" i="3" s="1"/>
  <c r="C9" i="8"/>
  <c r="C10" i="8"/>
  <c r="C14" i="8" s="1"/>
  <c r="C20" i="8" s="1"/>
  <c r="G24" i="3"/>
  <c r="G25" i="3"/>
  <c r="H8" i="5" l="1"/>
  <c r="H14" i="5" s="1"/>
  <c r="H26" i="5" s="1"/>
  <c r="H28" i="3"/>
  <c r="E20" i="1" s="1"/>
  <c r="E19" i="1"/>
  <c r="I24" i="3"/>
  <c r="I25" i="3"/>
  <c r="J10" i="7"/>
  <c r="J13" i="7" s="1"/>
  <c r="J14" i="7" s="1"/>
  <c r="J22" i="3" s="1"/>
  <c r="J23" i="3" s="1"/>
  <c r="E9" i="8"/>
  <c r="E10" i="8"/>
  <c r="E14" i="8" s="1"/>
  <c r="E20" i="8" s="1"/>
  <c r="G27" i="4"/>
  <c r="G8" i="5"/>
  <c r="G14" i="5" s="1"/>
  <c r="G26" i="5" s="1"/>
  <c r="G28" i="5" s="1"/>
  <c r="D19" i="1"/>
  <c r="G28" i="3"/>
  <c r="G9" i="8"/>
  <c r="G10" i="8" s="1"/>
  <c r="G14" i="8" s="1"/>
  <c r="J24" i="3" l="1"/>
  <c r="J25" i="3" s="1"/>
  <c r="C23" i="8"/>
  <c r="C26" i="8" s="1"/>
  <c r="C27" i="8" s="1"/>
  <c r="C31" i="8" s="1"/>
  <c r="G20" i="8"/>
  <c r="C30" i="8" s="1"/>
  <c r="H27" i="4"/>
  <c r="G28" i="4"/>
  <c r="G17" i="4" s="1"/>
  <c r="F19" i="1"/>
  <c r="I28" i="3"/>
  <c r="F20" i="1" s="1"/>
  <c r="I8" i="5"/>
  <c r="I14" i="5" s="1"/>
  <c r="I26" i="5" s="1"/>
  <c r="D20" i="1"/>
  <c r="C24" i="9"/>
  <c r="C26" i="1" s="1"/>
  <c r="D26" i="1" s="1"/>
  <c r="H27" i="5"/>
  <c r="H28" i="5" s="1"/>
  <c r="G7" i="4"/>
  <c r="J18" i="7"/>
  <c r="K8" i="7"/>
  <c r="J23" i="4"/>
  <c r="J25" i="4" s="1"/>
  <c r="J8" i="5" l="1"/>
  <c r="J14" i="5" s="1"/>
  <c r="J26" i="5" s="1"/>
  <c r="J28" i="3"/>
  <c r="G30" i="4"/>
  <c r="I27" i="4"/>
  <c r="H28" i="4"/>
  <c r="H17" i="4" s="1"/>
  <c r="G50" i="8"/>
  <c r="F49" i="8"/>
  <c r="E48" i="8"/>
  <c r="D47" i="8"/>
  <c r="C46" i="8"/>
  <c r="F50" i="8"/>
  <c r="E49" i="8"/>
  <c r="D48" i="8"/>
  <c r="C47" i="8"/>
  <c r="D50" i="8"/>
  <c r="C49" i="8"/>
  <c r="G47" i="8"/>
  <c r="F46" i="8"/>
  <c r="C50" i="8"/>
  <c r="G48" i="8"/>
  <c r="F47" i="8"/>
  <c r="E46" i="8"/>
  <c r="E47" i="8"/>
  <c r="C32" i="8"/>
  <c r="C36" i="8" s="1"/>
  <c r="C38" i="8" s="1"/>
  <c r="E50" i="8"/>
  <c r="G46" i="8"/>
  <c r="G49" i="8"/>
  <c r="D46" i="8"/>
  <c r="D49" i="8"/>
  <c r="F48" i="8"/>
  <c r="C48" i="8"/>
  <c r="K10" i="7"/>
  <c r="K13" i="7"/>
  <c r="K14" i="7" s="1"/>
  <c r="K22" i="3" s="1"/>
  <c r="K23" i="3" s="1"/>
  <c r="H7" i="4"/>
  <c r="I27" i="5"/>
  <c r="I28" i="5" s="1"/>
  <c r="G11" i="4"/>
  <c r="G16" i="4" s="1"/>
  <c r="G19" i="7"/>
  <c r="H11" i="4" l="1"/>
  <c r="H19" i="7"/>
  <c r="H16" i="4"/>
  <c r="H30" i="4"/>
  <c r="K24" i="3"/>
  <c r="K25" i="3"/>
  <c r="J27" i="4"/>
  <c r="I28" i="4"/>
  <c r="I17" i="4" s="1"/>
  <c r="K23" i="4"/>
  <c r="K25" i="4" s="1"/>
  <c r="K18" i="7"/>
  <c r="C40" i="8"/>
  <c r="D24" i="1" s="1"/>
  <c r="C24" i="1"/>
  <c r="J27" i="5"/>
  <c r="J28" i="5" s="1"/>
  <c r="I7" i="4"/>
  <c r="K8" i="5" l="1"/>
  <c r="K14" i="5" s="1"/>
  <c r="K26" i="5" s="1"/>
  <c r="K28" i="3"/>
  <c r="K28" i="4"/>
  <c r="K17" i="4" s="1"/>
  <c r="I11" i="4"/>
  <c r="I19" i="7"/>
  <c r="I30" i="4"/>
  <c r="I16" i="4"/>
  <c r="J7" i="4"/>
  <c r="K27" i="5"/>
  <c r="K28" i="5" s="1"/>
  <c r="K7" i="4" s="1"/>
  <c r="K11" i="4" s="1"/>
  <c r="K27" i="4"/>
  <c r="J28" i="4"/>
  <c r="J17" i="4" s="1"/>
  <c r="K16" i="4" l="1"/>
  <c r="K30" i="4"/>
  <c r="J11" i="4"/>
  <c r="J16" i="4" s="1"/>
  <c r="J19" i="7"/>
  <c r="K19" i="7"/>
  <c r="J30" i="4"/>
</calcChain>
</file>

<file path=xl/sharedStrings.xml><?xml version="1.0" encoding="utf-8"?>
<sst xmlns="http://schemas.openxmlformats.org/spreadsheetml/2006/main" count="422" uniqueCount="275">
  <si>
    <t>Pfizer Inc. — Comparable Company Analysis</t>
  </si>
  <si>
    <t>($ in billions, as of March 2026)</t>
  </si>
  <si>
    <t>Company</t>
  </si>
  <si>
    <t>Ticker</t>
  </si>
  <si>
    <t>Mkt Cap</t>
  </si>
  <si>
    <t>EV</t>
  </si>
  <si>
    <t>LTM Rev</t>
  </si>
  <si>
    <t>LTM EBITDA</t>
  </si>
  <si>
    <t>EV/Rev</t>
  </si>
  <si>
    <t>EV/EBITDA</t>
  </si>
  <si>
    <t>P/E (NTM)</t>
  </si>
  <si>
    <t>EBITDA Margin</t>
  </si>
  <si>
    <t>Div Yield</t>
  </si>
  <si>
    <t>AbbVie</t>
  </si>
  <si>
    <t>ABBV</t>
  </si>
  <si>
    <t>Merck</t>
  </si>
  <si>
    <t>MRK</t>
  </si>
  <si>
    <t>Bristol-Myers Squibb</t>
  </si>
  <si>
    <t>BMY</t>
  </si>
  <si>
    <t>Eli Lilly</t>
  </si>
  <si>
    <t>LLY</t>
  </si>
  <si>
    <t>Johnson &amp; Johnson</t>
  </si>
  <si>
    <t>JNJ</t>
  </si>
  <si>
    <t>AstraZeneca</t>
  </si>
  <si>
    <t>AZN</t>
  </si>
  <si>
    <t>Mean</t>
  </si>
  <si>
    <t>Median</t>
  </si>
  <si>
    <t>Pfizer</t>
  </si>
  <si>
    <t>PFE</t>
  </si>
  <si>
    <t>IMPLIED VALUATION FROM COMPS</t>
  </si>
  <si>
    <t>EV/EBITDA (Median) → EV</t>
  </si>
  <si>
    <t>Less: Net Debt</t>
  </si>
  <si>
    <t>Implied Equity Value</t>
  </si>
  <si>
    <t>Shares (B)</t>
  </si>
  <si>
    <t>Implied Price (EV/EBITDA)</t>
  </si>
  <si>
    <t>P/E (Median NTM) → Price</t>
  </si>
  <si>
    <t>Pfizer Inc. (PFE) — Executive Summary</t>
  </si>
  <si>
    <t>Financial Model &amp; Valuation Overview | March 2026</t>
  </si>
  <si>
    <t>COMPANY OVERVIEW</t>
  </si>
  <si>
    <t>Sector</t>
  </si>
  <si>
    <t>Healthcare / Biopharma</t>
  </si>
  <si>
    <t>Market Cap ($B)</t>
  </si>
  <si>
    <t>Enterprise Value ($B)</t>
  </si>
  <si>
    <t>Current Price</t>
  </si>
  <si>
    <t>Shares Outstanding (B)</t>
  </si>
  <si>
    <t>Credit Rating</t>
  </si>
  <si>
    <t>A / A2 (Stable)</t>
  </si>
  <si>
    <t>Dividend Yield</t>
  </si>
  <si>
    <t>KEY FINANCIAL METRICS</t>
  </si>
  <si>
    <t>FY2024</t>
  </si>
  <si>
    <t>FY2025E</t>
  </si>
  <si>
    <t>FY2026E</t>
  </si>
  <si>
    <t>FY2027E</t>
  </si>
  <si>
    <t>Revenue ($M)</t>
  </si>
  <si>
    <t>EBITDA ($M)</t>
  </si>
  <si>
    <t>Net Income ($M)</t>
  </si>
  <si>
    <t>Diluted EPS</t>
  </si>
  <si>
    <t>VALUATION SUMMARY</t>
  </si>
  <si>
    <t>Methodology</t>
  </si>
  <si>
    <t>Implied Price</t>
  </si>
  <si>
    <t>Upside/(Downside)</t>
  </si>
  <si>
    <t>DCF (Base Case)</t>
  </si>
  <si>
    <t>EV/EBITDA Comps (Median)</t>
  </si>
  <si>
    <t>P/E Comps (Median NTM)</t>
  </si>
  <si>
    <t>KEY RISKS &amp; CONSIDERATIONS</t>
  </si>
  <si>
    <t>• Loss of exclusivity (LOE): &gt;$6B revenue at risk by 2028 from patent expirations</t>
  </si>
  <si>
    <t>• COVID-19 revenue normalization: Comirnaty/Paxlovid demand declining from FY2022 peak</t>
  </si>
  <si>
    <t>• Seagen integration: $43B acquisition must deliver on oncology pipeline synergies</t>
  </si>
  <si>
    <t>• High debt load: $60B+ total debt constrains financial flexibility</t>
  </si>
  <si>
    <t>• Pipeline risk: Heavy dependence on oncology pipeline success (Padcev, Adcetris, etc.)</t>
  </si>
  <si>
    <t>• Pricing pressure: IRA drug pricing negotiation impact beginning 2026+</t>
  </si>
  <si>
    <t>KEY CATALYSTS</t>
  </si>
  <si>
    <t>• Seagen oncology portfolio ramp (Padcev + Adcetris &gt;$5B potential)</t>
  </si>
  <si>
    <t>• Debt deleveraging: $3-4B annual mandatory repayments improving balance sheet</t>
  </si>
  <si>
    <t>• Obesity/metabolic pipeline optionality (danuglipron oral GLP-1)</t>
  </si>
  <si>
    <t>• Cost restructuring program targeting &gt;$4B in savings by 2027</t>
  </si>
  <si>
    <t>Pfizer Inc. — Model Assumptions &amp; Drivers</t>
  </si>
  <si>
    <t>($ in millions unless noted)</t>
  </si>
  <si>
    <t>Historical</t>
  </si>
  <si>
    <t>Projected</t>
  </si>
  <si>
    <t>FY2021</t>
  </si>
  <si>
    <t>FY2022</t>
  </si>
  <si>
    <t>FY2023</t>
  </si>
  <si>
    <t>FY2028E</t>
  </si>
  <si>
    <t>FY2029E</t>
  </si>
  <si>
    <t>REVENUE DRIVERS</t>
  </si>
  <si>
    <t>Total Revenue</t>
  </si>
  <si>
    <t>Revenue Growth %</t>
  </si>
  <si>
    <t>MARGIN DRIVERS</t>
  </si>
  <si>
    <t>COGS % of Revenue</t>
  </si>
  <si>
    <t>SI&amp;A % of Revenue</t>
  </si>
  <si>
    <t>R&amp;D % of Revenue</t>
  </si>
  <si>
    <t>Implied Gross Margin</t>
  </si>
  <si>
    <t>Implied EBITDA Margin</t>
  </si>
  <si>
    <t>OTHER IS DRIVERS</t>
  </si>
  <si>
    <t>Amortization of Intangibles</t>
  </si>
  <si>
    <t>Restructuring &amp; Other</t>
  </si>
  <si>
    <t>Other (Income)/Deductions</t>
  </si>
  <si>
    <t>Effective Tax Rate</t>
  </si>
  <si>
    <t>BALANCE SHEET DRIVERS</t>
  </si>
  <si>
    <t>Days Sales Outstanding (DSO)</t>
  </si>
  <si>
    <t>Days Inventory Outstanding (DIO)</t>
  </si>
  <si>
    <t>Days Payable Outstanding (DPO)</t>
  </si>
  <si>
    <t>Other Current Assets % Rev</t>
  </si>
  <si>
    <t>Accrued Liabilities % Rev</t>
  </si>
  <si>
    <t>CAPEX &amp; D&amp;A</t>
  </si>
  <si>
    <t>CapEx % of Revenue</t>
  </si>
  <si>
    <t>Depreciation (est.)</t>
  </si>
  <si>
    <t>CAPITAL STRUCTURE</t>
  </si>
  <si>
    <t>Dividends per Share ($)</t>
  </si>
  <si>
    <t>Diluted Shares (M)</t>
  </si>
  <si>
    <t>Share Repurchases</t>
  </si>
  <si>
    <t>WACC INPUTS</t>
  </si>
  <si>
    <t>Risk-Free Rate</t>
  </si>
  <si>
    <t>Equity Risk Premium</t>
  </si>
  <si>
    <t>Levered Beta</t>
  </si>
  <si>
    <t>Pre-tax Cost of Debt</t>
  </si>
  <si>
    <t>Total Debt ($B)</t>
  </si>
  <si>
    <t>Marginal Tax Rate</t>
  </si>
  <si>
    <t>Terminal Growth Rate</t>
  </si>
  <si>
    <t>DERIVED WACC</t>
  </si>
  <si>
    <t>Cost of Equity (CAPM)</t>
  </si>
  <si>
    <t>Debt Weight</t>
  </si>
  <si>
    <t>Equity Weight</t>
  </si>
  <si>
    <t>WACC</t>
  </si>
  <si>
    <t>Pfizer Inc. — Income Statement</t>
  </si>
  <si>
    <t>($ in millions, except per share data)</t>
  </si>
  <si>
    <t>REVENUE</t>
  </si>
  <si>
    <t xml:space="preserve">  Cost of Sales</t>
  </si>
  <si>
    <t>Gross Profit</t>
  </si>
  <si>
    <t xml:space="preserve">  Gross Margin %</t>
  </si>
  <si>
    <t>OPERATING EXPENSES</t>
  </si>
  <si>
    <t xml:space="preserve">  SI&amp;A Expense</t>
  </si>
  <si>
    <t xml:space="preserve">  R&amp;D Expense</t>
  </si>
  <si>
    <t>EBITDA</t>
  </si>
  <si>
    <t xml:space="preserve">  EBITDA Margin %</t>
  </si>
  <si>
    <t>NON-CASH &amp; OTHER ITEMS</t>
  </si>
  <si>
    <t xml:space="preserve">  Amortization of Intangibles</t>
  </si>
  <si>
    <t xml:space="preserve">  Depreciation</t>
  </si>
  <si>
    <t xml:space="preserve">  Restructuring &amp; Other</t>
  </si>
  <si>
    <t xml:space="preserve">  Other (Income)/Deductions</t>
  </si>
  <si>
    <t>EBIT</t>
  </si>
  <si>
    <t xml:space="preserve">  Interest Expense (from Debt Sched.)</t>
  </si>
  <si>
    <t>Income Before Tax</t>
  </si>
  <si>
    <t xml:space="preserve">  Income Tax Expense</t>
  </si>
  <si>
    <t>Net Income</t>
  </si>
  <si>
    <t>PER SHARE DATA</t>
  </si>
  <si>
    <t>Dividends per Share</t>
  </si>
  <si>
    <t>Pfizer Inc. — Balance Sheet</t>
  </si>
  <si>
    <t>($ in millions)</t>
  </si>
  <si>
    <t>CURRENT ASSETS</t>
  </si>
  <si>
    <t>Cash &amp; Short-term Investments</t>
  </si>
  <si>
    <t>Accounts Receivable</t>
  </si>
  <si>
    <t>Inventories</t>
  </si>
  <si>
    <t>Other Current Assets</t>
  </si>
  <si>
    <t>Total Current Assets</t>
  </si>
  <si>
    <t>NON-CURRENT ASSETS</t>
  </si>
  <si>
    <t>PP&amp;E, net</t>
  </si>
  <si>
    <t>Goodwill</t>
  </si>
  <si>
    <t>Intangible Assets, net</t>
  </si>
  <si>
    <t>Other Non-current Assets</t>
  </si>
  <si>
    <t>Total Assets</t>
  </si>
  <si>
    <t>LIABILITIES</t>
  </si>
  <si>
    <t>Short-term Debt</t>
  </si>
  <si>
    <t>Accounts Payable</t>
  </si>
  <si>
    <t>Accrued &amp; Other Current Liab.</t>
  </si>
  <si>
    <t>Total Current Liabilities</t>
  </si>
  <si>
    <t>Long-term Debt</t>
  </si>
  <si>
    <t>Other Non-current Liabilities</t>
  </si>
  <si>
    <t>Total Liabilities</t>
  </si>
  <si>
    <t>EQUITY</t>
  </si>
  <si>
    <t>Total Stockholders' Equity</t>
  </si>
  <si>
    <t>Total Liabilities &amp; Equity</t>
  </si>
  <si>
    <t>Balance Check (TA - TL&amp;E)</t>
  </si>
  <si>
    <t>Pfizer Inc. — Cash Flow Statement</t>
  </si>
  <si>
    <t>OPERATING ACTIVITIES</t>
  </si>
  <si>
    <t>Depreciation</t>
  </si>
  <si>
    <t>Stock-based Compensation</t>
  </si>
  <si>
    <t>Change in Working Capital</t>
  </si>
  <si>
    <t>Other Operating Adjustments</t>
  </si>
  <si>
    <t>Cash from Operations</t>
  </si>
  <si>
    <t xml:space="preserve"> </t>
  </si>
  <si>
    <t>INVESTING ACTIVITIES</t>
  </si>
  <si>
    <t>Capital Expenditures</t>
  </si>
  <si>
    <t>Cash from Investing</t>
  </si>
  <si>
    <t>FINANCING ACTIVITIES</t>
  </si>
  <si>
    <t>Dividends Paid</t>
  </si>
  <si>
    <t>Debt Repayment</t>
  </si>
  <si>
    <t>Cash from Financing</t>
  </si>
  <si>
    <t>Net Change in Cash</t>
  </si>
  <si>
    <t>Beginning Cash &amp; STI</t>
  </si>
  <si>
    <t>Ending Cash &amp; STI</t>
  </si>
  <si>
    <t>Pfizer Inc. — Working Capital Schedule</t>
  </si>
  <si>
    <t>WORKING CAPITAL DRIVERS</t>
  </si>
  <si>
    <t>Revenue (ref)</t>
  </si>
  <si>
    <t>COGS (ref)</t>
  </si>
  <si>
    <t>DSO (days)</t>
  </si>
  <si>
    <t>DIO (days)</t>
  </si>
  <si>
    <t>DPO (days)</t>
  </si>
  <si>
    <t>Other Curr. Assets % Rev</t>
  </si>
  <si>
    <t>Accrued Liab. % Rev</t>
  </si>
  <si>
    <t>WORKING CAPITAL ITEMS</t>
  </si>
  <si>
    <t>Total Current Assets (ex-Cash)</t>
  </si>
  <si>
    <t>Total Current Liabilities (ex-Debt)</t>
  </si>
  <si>
    <t>Net Working Capital</t>
  </si>
  <si>
    <t>Change in NWC</t>
  </si>
  <si>
    <t>Pfizer Inc. — Debt Schedule</t>
  </si>
  <si>
    <t>LONG-TERM DEBT</t>
  </si>
  <si>
    <t>Beginning Balance</t>
  </si>
  <si>
    <t xml:space="preserve">  Mandatory Repayments</t>
  </si>
  <si>
    <t>Ending LT Debt</t>
  </si>
  <si>
    <t>INTEREST CALCULATION</t>
  </si>
  <si>
    <t>Avg. Debt Balance</t>
  </si>
  <si>
    <t>Interest Expense (negative)</t>
  </si>
  <si>
    <t>Interest Rate (blended)</t>
  </si>
  <si>
    <t>MEMO</t>
  </si>
  <si>
    <t>Total Debt (LT + ST)</t>
  </si>
  <si>
    <t>Net Debt</t>
  </si>
  <si>
    <t>Pfizer Inc. — Discounted Cash Flow Analysis</t>
  </si>
  <si>
    <t>UNLEVERED FREE CASH FLOW</t>
  </si>
  <si>
    <t xml:space="preserve">  Less: Taxes on EBIT</t>
  </si>
  <si>
    <t>NOPAT</t>
  </si>
  <si>
    <t xml:space="preserve">  Plus: D&amp;A</t>
  </si>
  <si>
    <t xml:space="preserve">  Less: CapEx</t>
  </si>
  <si>
    <t xml:space="preserve">  Less: Change in NWC</t>
  </si>
  <si>
    <t>Unlevered Free Cash Flow (UFCF)</t>
  </si>
  <si>
    <t>DISCOUNT FACTORS</t>
  </si>
  <si>
    <t>Discount Period</t>
  </si>
  <si>
    <t>Discount Factor</t>
  </si>
  <si>
    <t>PV of UFCF</t>
  </si>
  <si>
    <t>TERMINAL VALUE</t>
  </si>
  <si>
    <t>Terminal Year UFCF</t>
  </si>
  <si>
    <t>Terminal Value (GGM)</t>
  </si>
  <si>
    <t>PV of Terminal Value</t>
  </si>
  <si>
    <t>Sum of PV of UFCF</t>
  </si>
  <si>
    <t>Enterprise Value</t>
  </si>
  <si>
    <t>Less: Total Debt (FY2024)</t>
  </si>
  <si>
    <t>Plus: Cash &amp; STI (FY2024)</t>
  </si>
  <si>
    <t>Equity Value</t>
  </si>
  <si>
    <t>Implied Share Price</t>
  </si>
  <si>
    <t>Upside / (Downside)</t>
  </si>
  <si>
    <t>SENSITIVITY ANALYSIS — Implied Share Price</t>
  </si>
  <si>
    <t>Pfizer Inc. — Historical Income Statement</t>
  </si>
  <si>
    <t>FY2019</t>
  </si>
  <si>
    <t>FY2020</t>
  </si>
  <si>
    <t>Cost of Sales</t>
  </si>
  <si>
    <t>SI&amp;A Expense</t>
  </si>
  <si>
    <t>R&amp;D Expense</t>
  </si>
  <si>
    <t>Acquired IPR&amp;D</t>
  </si>
  <si>
    <t>Restructuring &amp; Acq. Related</t>
  </si>
  <si>
    <t>Gain on Consumer Healthcare JV</t>
  </si>
  <si>
    <t>Other (Income)/Deductions, net</t>
  </si>
  <si>
    <t>Income Before Tax (Cont. Ops)</t>
  </si>
  <si>
    <t>Income Tax Expense</t>
  </si>
  <si>
    <t>Net Income (Cont. Ops)</t>
  </si>
  <si>
    <t>Disc. Ops, net of tax</t>
  </si>
  <si>
    <t>Net Income attr. to Pfizer</t>
  </si>
  <si>
    <t>Gross Margin</t>
  </si>
  <si>
    <t>Pfizer Inc. — Historical Balance Sheet</t>
  </si>
  <si>
    <t>ASSETS</t>
  </si>
  <si>
    <t>Cash &amp; Equivalents</t>
  </si>
  <si>
    <t>Short-term Investments</t>
  </si>
  <si>
    <t>Short-term Debt / Current LTD</t>
  </si>
  <si>
    <t>Pfizer Inc. — Historical Cash Flow Statement</t>
  </si>
  <si>
    <t>Depreciation &amp; Amortization</t>
  </si>
  <si>
    <t>Deferred Taxes</t>
  </si>
  <si>
    <t>Changes in Working Capital:</t>
  </si>
  <si>
    <t xml:space="preserve">  Accounts Receivable</t>
  </si>
  <si>
    <t xml:space="preserve">  Inventories</t>
  </si>
  <si>
    <t xml:space="preserve">  Accounts Payable &amp; Other</t>
  </si>
  <si>
    <t xml:space="preserve">  Total Working Capital Change</t>
  </si>
  <si>
    <t>Acquisitions</t>
  </si>
  <si>
    <t>Other Investing</t>
  </si>
  <si>
    <t>Debt Issuance / (Repayment), net</t>
  </si>
  <si>
    <t>Other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</si>
</sst>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%"/>
    <numFmt numFmtId="166" formatCode="#,##0.0"/>
    <numFmt numFmtId="167" formatCode="0.0000"/>
    <numFmt numFmtId="168" formatCode="0.0\x"/>
    <numFmt numFmtId="169" formatCode="&quot;$&quot;#,##0.0"/>
    <numFmt numFmtId="170" formatCode="&quot;$&quot;#,##0.00"/>
  </numFmts>
  <fonts count="14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b/>
      <sz val="10"/>
      <color rgb="FF1F3864"/>
      <name val="Arial"/>
    </font>
    <font>
      <sz val="10"/>
      <color rgb="FF80808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4"/>
      <name val="Arial"/>
    </font>
    <font>
      <b/>
      <sz val="10"/>
      <color rgb="FF808080"/>
      <name val="Arial"/>
    </font>
    <font>
      <b/>
      <sz val="10"/>
      <color rgb="FF0000FF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008000"/>
      <name val="Arial"/>
    </font>
    <font>
      <b/>
      <sz val="10"/>
      <color rgb="FF006100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double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/>
      <bottom style="thin">
        <color rgb="FF1F3864"/>
      </bottom>
      <diagonal/>
    </border>
    <border>
      <left/>
      <right style="medium">
        <color rgb="FF002060"/>
      </right>
      <top style="thin">
        <color rgb="FF1F3864"/>
      </top>
      <bottom style="double">
        <color rgb="FF1F3864"/>
      </bottom>
      <diagonal/>
    </border>
    <border>
      <left/>
      <right style="medium">
        <color rgb="FF002060"/>
      </right>
      <top/>
      <bottom style="double">
        <color rgb="FF1F3864"/>
      </bottom>
      <diagonal/>
    </border>
    <border>
      <left/>
      <right style="medium">
        <color rgb="FF002060"/>
      </right>
      <top style="thin">
        <color rgb="FF1F3864"/>
      </top>
      <bottom/>
      <diagonal/>
    </border>
    <border>
      <left/>
      <right style="medium">
        <color rgb="FF002060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3" fontId="1" fillId="9" borderId="0" xfId="0" applyNumberFormat="1" applyFont="1" applyFill="1" applyAlignment="1">
      <alignment horizontal="center" vertical="center"/>
    </xf>
    <xf numFmtId="3" fontId="9" fillId="10" borderId="0" xfId="0" applyNumberFormat="1" applyFont="1" applyFill="1" applyAlignment="1">
      <alignment horizontal="center" vertical="center"/>
    </xf>
    <xf numFmtId="165" fontId="1" fillId="9" borderId="0" xfId="0" applyNumberFormat="1" applyFont="1" applyFill="1" applyAlignment="1">
      <alignment horizontal="center" vertical="center"/>
    </xf>
    <xf numFmtId="165" fontId="1" fillId="10" borderId="0" xfId="0" applyNumberFormat="1" applyFont="1" applyFill="1" applyAlignment="1">
      <alignment horizontal="center" vertical="center"/>
    </xf>
    <xf numFmtId="165" fontId="9" fillId="10" borderId="0" xfId="0" applyNumberFormat="1" applyFont="1" applyFill="1" applyAlignment="1">
      <alignment horizontal="center" vertical="center"/>
    </xf>
    <xf numFmtId="1" fontId="1" fillId="9" borderId="0" xfId="0" applyNumberFormat="1" applyFont="1" applyFill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10" fontId="9" fillId="9" borderId="0" xfId="0" applyNumberFormat="1" applyFont="1" applyFill="1" applyAlignment="1">
      <alignment horizontal="center" vertical="center"/>
    </xf>
    <xf numFmtId="10" fontId="1" fillId="9" borderId="0" xfId="0" applyNumberFormat="1" applyFont="1" applyFill="1" applyAlignment="1">
      <alignment horizontal="center" vertical="center"/>
    </xf>
    <xf numFmtId="10" fontId="1" fillId="10" borderId="0" xfId="0" applyNumberFormat="1" applyFont="1" applyFill="1" applyAlignment="1">
      <alignment horizontal="center" vertical="center"/>
    </xf>
    <xf numFmtId="2" fontId="9" fillId="9" borderId="0" xfId="0" applyNumberFormat="1" applyFont="1" applyFill="1" applyAlignment="1">
      <alignment horizontal="center" vertical="center"/>
    </xf>
    <xf numFmtId="2" fontId="1" fillId="9" borderId="0" xfId="0" applyNumberFormat="1" applyFont="1" applyFill="1" applyAlignment="1">
      <alignment horizontal="center" vertical="center"/>
    </xf>
    <xf numFmtId="2" fontId="1" fillId="10" borderId="0" xfId="0" applyNumberFormat="1" applyFont="1" applyFill="1" applyAlignment="1">
      <alignment horizontal="center" vertical="center"/>
    </xf>
    <xf numFmtId="166" fontId="9" fillId="9" borderId="0" xfId="0" applyNumberFormat="1" applyFont="1" applyFill="1" applyAlignment="1">
      <alignment horizontal="center" vertical="center"/>
    </xf>
    <xf numFmtId="166" fontId="1" fillId="9" borderId="0" xfId="0" applyNumberFormat="1" applyFont="1" applyFill="1" applyAlignment="1">
      <alignment horizontal="center" vertical="center"/>
    </xf>
    <xf numFmtId="166" fontId="1" fillId="10" borderId="0" xfId="0" applyNumberFormat="1" applyFont="1" applyFill="1" applyAlignment="1">
      <alignment horizontal="center" vertical="center"/>
    </xf>
    <xf numFmtId="165" fontId="9" fillId="9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8" borderId="7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3" fontId="1" fillId="5" borderId="7" xfId="0" applyNumberFormat="1" applyFont="1" applyFill="1" applyBorder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8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5" fontId="1" fillId="5" borderId="0" xfId="0" applyNumberFormat="1" applyFont="1" applyFill="1" applyAlignment="1">
      <alignment horizontal="center" vertical="center"/>
    </xf>
    <xf numFmtId="165" fontId="1" fillId="5" borderId="7" xfId="0" applyNumberFormat="1" applyFont="1" applyFill="1" applyBorder="1" applyAlignment="1">
      <alignment horizontal="center" vertical="center"/>
    </xf>
    <xf numFmtId="165" fontId="1" fillId="6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5" borderId="0" xfId="0" applyNumberFormat="1" applyFont="1" applyFill="1" applyAlignment="1">
      <alignment horizontal="center" vertical="center"/>
    </xf>
    <xf numFmtId="3" fontId="5" fillId="5" borderId="7" xfId="0" applyNumberFormat="1" applyFont="1" applyFill="1" applyBorder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3" fontId="5" fillId="5" borderId="5" xfId="0" applyNumberFormat="1" applyFont="1" applyFill="1" applyBorder="1" applyAlignment="1">
      <alignment horizontal="center" vertical="center"/>
    </xf>
    <xf numFmtId="3" fontId="5" fillId="5" borderId="9" xfId="0" applyNumberFormat="1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3" fontId="5" fillId="7" borderId="0" xfId="0" applyNumberFormat="1" applyFont="1" applyFill="1" applyAlignment="1">
      <alignment horizontal="left" vertical="center"/>
    </xf>
    <xf numFmtId="3" fontId="5" fillId="7" borderId="0" xfId="0" applyNumberFormat="1" applyFont="1" applyFill="1" applyAlignment="1">
      <alignment horizontal="center" vertical="center"/>
    </xf>
    <xf numFmtId="3" fontId="5" fillId="7" borderId="7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3" fontId="1" fillId="6" borderId="0" xfId="0" applyNumberFormat="1" applyFont="1" applyFill="1" applyAlignment="1">
      <alignment horizontal="center" vertical="center"/>
    </xf>
    <xf numFmtId="3" fontId="5" fillId="0" borderId="2" xfId="0" applyNumberFormat="1" applyFont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center" vertical="center"/>
    </xf>
    <xf numFmtId="3" fontId="5" fillId="5" borderId="11" xfId="0" applyNumberFormat="1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3" fontId="5" fillId="0" borderId="4" xfId="0" applyNumberFormat="1" applyFont="1" applyBorder="1" applyAlignment="1">
      <alignment horizontal="left" vertical="center"/>
    </xf>
    <xf numFmtId="3" fontId="5" fillId="5" borderId="4" xfId="0" applyNumberFormat="1" applyFont="1" applyFill="1" applyBorder="1" applyAlignment="1">
      <alignment horizontal="center" vertical="center"/>
    </xf>
    <xf numFmtId="3" fontId="5" fillId="5" borderId="12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3" fontId="11" fillId="6" borderId="0" xfId="0" applyNumberFormat="1" applyFont="1" applyFill="1" applyAlignment="1">
      <alignment horizontal="center" vertical="center"/>
    </xf>
    <xf numFmtId="3" fontId="5" fillId="0" borderId="3" xfId="0" applyNumberFormat="1" applyFont="1" applyBorder="1" applyAlignment="1">
      <alignment horizontal="left" vertical="center"/>
    </xf>
    <xf numFmtId="3" fontId="12" fillId="11" borderId="3" xfId="0" applyNumberFormat="1" applyFont="1" applyFill="1" applyBorder="1" applyAlignment="1">
      <alignment horizontal="center" vertical="center"/>
    </xf>
    <xf numFmtId="3" fontId="12" fillId="11" borderId="10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center" vertical="center"/>
    </xf>
    <xf numFmtId="3" fontId="2" fillId="7" borderId="8" xfId="0" applyNumberFormat="1" applyFont="1" applyFill="1" applyBorder="1" applyAlignment="1">
      <alignment horizontal="center" vertical="center"/>
    </xf>
    <xf numFmtId="3" fontId="9" fillId="6" borderId="0" xfId="0" applyNumberFormat="1" applyFont="1" applyFill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3" fontId="5" fillId="5" borderId="10" xfId="0" applyNumberFormat="1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1" fontId="1" fillId="5" borderId="0" xfId="0" applyNumberFormat="1" applyFont="1" applyFill="1" applyAlignment="1">
      <alignment horizontal="center" vertical="center"/>
    </xf>
    <xf numFmtId="1" fontId="1" fillId="5" borderId="7" xfId="0" applyNumberFormat="1" applyFont="1" applyFill="1" applyBorder="1" applyAlignment="1">
      <alignment horizontal="center" vertical="center"/>
    </xf>
    <xf numFmtId="1" fontId="10" fillId="6" borderId="0" xfId="0" applyNumberFormat="1" applyFont="1" applyFill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0" fontId="1" fillId="5" borderId="0" xfId="0" applyNumberFormat="1" applyFont="1" applyFill="1" applyAlignment="1">
      <alignment horizontal="center" vertical="center"/>
    </xf>
    <xf numFmtId="10" fontId="1" fillId="5" borderId="7" xfId="0" applyNumberFormat="1" applyFont="1" applyFill="1" applyBorder="1" applyAlignment="1">
      <alignment horizontal="center" vertical="center"/>
    </xf>
    <xf numFmtId="10" fontId="10" fillId="6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167" fontId="1" fillId="6" borderId="0" xfId="0" applyNumberFormat="1" applyFont="1" applyFill="1" applyAlignment="1">
      <alignment horizontal="center" vertical="center"/>
    </xf>
    <xf numFmtId="10" fontId="1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65" fontId="4" fillId="6" borderId="6" xfId="0" applyNumberFormat="1" applyFont="1" applyFill="1" applyBorder="1" applyAlignment="1">
      <alignment horizontal="center" vertical="center"/>
    </xf>
    <xf numFmtId="165" fontId="4" fillId="2" borderId="6" xfId="0" applyNumberFormat="1" applyFont="1" applyFill="1" applyBorder="1" applyAlignment="1">
      <alignment horizontal="left" vertical="center"/>
    </xf>
    <xf numFmtId="166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8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170" fontId="1" fillId="9" borderId="0" xfId="0" applyNumberFormat="1" applyFont="1" applyFill="1" applyAlignment="1">
      <alignment horizontal="center" vertical="center"/>
    </xf>
    <xf numFmtId="170" fontId="9" fillId="10" borderId="0" xfId="0" applyNumberFormat="1" applyFont="1" applyFill="1" applyAlignment="1">
      <alignment horizontal="center" vertical="center"/>
    </xf>
    <xf numFmtId="170" fontId="5" fillId="5" borderId="0" xfId="0" applyNumberFormat="1" applyFont="1" applyFill="1" applyAlignment="1">
      <alignment horizontal="center" vertical="center"/>
    </xf>
    <xf numFmtId="170" fontId="5" fillId="5" borderId="7" xfId="0" applyNumberFormat="1" applyFont="1" applyFill="1" applyBorder="1" applyAlignment="1">
      <alignment horizontal="center" vertical="center"/>
    </xf>
    <xf numFmtId="170" fontId="5" fillId="6" borderId="0" xfId="0" applyNumberFormat="1" applyFont="1" applyFill="1" applyAlignment="1">
      <alignment horizontal="center" vertical="center"/>
    </xf>
    <xf numFmtId="170" fontId="1" fillId="5" borderId="0" xfId="0" applyNumberFormat="1" applyFont="1" applyFill="1" applyAlignment="1">
      <alignment horizontal="center" vertical="center"/>
    </xf>
    <xf numFmtId="170" fontId="1" fillId="5" borderId="7" xfId="0" applyNumberFormat="1" applyFont="1" applyFill="1" applyBorder="1" applyAlignment="1">
      <alignment horizontal="center" vertical="center"/>
    </xf>
    <xf numFmtId="170" fontId="10" fillId="6" borderId="0" xfId="0" applyNumberFormat="1" applyFont="1" applyFill="1" applyAlignment="1">
      <alignment horizontal="center" vertical="center"/>
    </xf>
    <xf numFmtId="170" fontId="2" fillId="6" borderId="0" xfId="0" applyNumberFormat="1" applyFont="1" applyFill="1" applyAlignment="1">
      <alignment horizontal="center" vertical="center"/>
    </xf>
    <xf numFmtId="170" fontId="1" fillId="6" borderId="0" xfId="0" applyNumberFormat="1" applyFont="1" applyFill="1" applyAlignment="1">
      <alignment horizontal="center" vertical="center"/>
    </xf>
    <xf numFmtId="170" fontId="1" fillId="6" borderId="6" xfId="0" applyNumberFormat="1" applyFont="1" applyFill="1" applyBorder="1" applyAlignment="1">
      <alignment horizontal="center" vertical="center"/>
    </xf>
    <xf numFmtId="170" fontId="5" fillId="6" borderId="6" xfId="0" applyNumberFormat="1" applyFont="1" applyFill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</font>
      <fill>
        <patternFill patternType="solid">
          <fgColor indexed="64"/>
          <bgColor rgb="FFFFC7CE"/>
        </patternFill>
      </fill>
    </dxf>
    <dxf>
      <font>
        <b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40"/>
  <sheetViews>
    <sheetView showGridLines="0" topLeftCell="A15" zoomScale="85" zoomScaleNormal="85" workbookViewId="0">
      <pane xSplit="2" ySplit="5" topLeftCell="C20" activePane="bottomRight" state="frozen"/>
      <selection pane="topRight"/>
      <selection pane="bottomLeft"/>
      <selection pane="bottomRight" activeCell="B25" sqref="B25"/>
    </sheetView>
  </sheetViews>
  <sheetFormatPr defaultRowHeight="15" x14ac:dyDescent="0.25"/>
  <cols>
    <col min="1" max="1" width="2" customWidth="1"/>
    <col min="2" max="2" width="76.5703125" customWidth="1"/>
    <col min="3" max="3" width="16" customWidth="1"/>
    <col min="4" max="4" width="20" customWidth="1"/>
    <col min="5" max="6" width="14" customWidth="1"/>
    <col min="7" max="12" width="13" customWidth="1"/>
  </cols>
  <sheetData>
    <row r="1" spans="1:6" ht="15.95" customHeight="1" x14ac:dyDescent="0.25">
      <c r="A1" s="1"/>
      <c r="B1" s="1"/>
      <c r="C1" s="1"/>
      <c r="D1" s="1"/>
      <c r="E1" s="1"/>
      <c r="F1" s="1"/>
    </row>
    <row r="2" spans="1:6" ht="21.95" customHeight="1" x14ac:dyDescent="0.25">
      <c r="A2" s="1"/>
      <c r="B2" s="2" t="s">
        <v>36</v>
      </c>
      <c r="C2" s="1"/>
      <c r="D2" s="1"/>
      <c r="E2" s="1"/>
      <c r="F2" s="1"/>
    </row>
    <row r="3" spans="1:6" ht="15.95" customHeight="1" x14ac:dyDescent="0.25">
      <c r="A3" s="1"/>
      <c r="B3" s="3" t="s">
        <v>37</v>
      </c>
      <c r="C3" s="1"/>
      <c r="D3" s="1"/>
      <c r="E3" s="1"/>
      <c r="F3" s="1"/>
    </row>
    <row r="4" spans="1:6" ht="15.95" customHeight="1" x14ac:dyDescent="0.25">
      <c r="A4" s="4"/>
      <c r="B4" s="1"/>
      <c r="C4" s="4"/>
      <c r="D4" s="4"/>
      <c r="E4" s="4"/>
      <c r="F4" s="4"/>
    </row>
    <row r="5" spans="1:6" ht="15.95" customHeight="1" x14ac:dyDescent="0.25">
      <c r="A5" s="4"/>
      <c r="B5" s="5" t="s">
        <v>38</v>
      </c>
      <c r="C5" s="6"/>
      <c r="D5" s="6"/>
      <c r="E5" s="6"/>
      <c r="F5" s="6"/>
    </row>
    <row r="6" spans="1:6" ht="15.95" customHeight="1" x14ac:dyDescent="0.25">
      <c r="A6" s="4"/>
      <c r="B6" s="1" t="s">
        <v>39</v>
      </c>
      <c r="C6" s="4" t="s">
        <v>40</v>
      </c>
      <c r="D6" s="4"/>
      <c r="E6" s="4"/>
      <c r="F6" s="4"/>
    </row>
    <row r="7" spans="1:6" ht="15.95" customHeight="1" x14ac:dyDescent="0.25">
      <c r="A7" s="4"/>
      <c r="B7" s="1" t="s">
        <v>41</v>
      </c>
      <c r="C7" s="136">
        <v>152.4</v>
      </c>
      <c r="D7" s="4"/>
      <c r="E7" s="4"/>
      <c r="F7" s="4"/>
    </row>
    <row r="8" spans="1:6" ht="15.95" customHeight="1" x14ac:dyDescent="0.25">
      <c r="A8" s="4"/>
      <c r="B8" s="1" t="s">
        <v>42</v>
      </c>
      <c r="C8" s="136">
        <v>196.8</v>
      </c>
      <c r="D8" s="4"/>
      <c r="E8" s="4"/>
      <c r="F8" s="4"/>
    </row>
    <row r="9" spans="1:6" ht="15.95" customHeight="1" x14ac:dyDescent="0.25">
      <c r="A9" s="4"/>
      <c r="B9" s="1" t="s">
        <v>43</v>
      </c>
      <c r="C9" s="137">
        <v>26.6</v>
      </c>
      <c r="D9" s="4"/>
      <c r="E9" s="4"/>
      <c r="F9" s="4"/>
    </row>
    <row r="10" spans="1:6" ht="15.95" customHeight="1" x14ac:dyDescent="0.25">
      <c r="A10" s="4"/>
      <c r="B10" s="1" t="s">
        <v>44</v>
      </c>
      <c r="C10" s="7">
        <v>5.7</v>
      </c>
      <c r="D10" s="4"/>
      <c r="E10" s="4"/>
      <c r="F10" s="4"/>
    </row>
    <row r="11" spans="1:6" ht="15.95" customHeight="1" x14ac:dyDescent="0.25">
      <c r="A11" s="4"/>
      <c r="B11" s="1" t="s">
        <v>45</v>
      </c>
      <c r="C11" s="4" t="s">
        <v>46</v>
      </c>
      <c r="D11" s="4"/>
      <c r="E11" s="4"/>
      <c r="F11" s="4"/>
    </row>
    <row r="12" spans="1:6" ht="15.95" customHeight="1" x14ac:dyDescent="0.25">
      <c r="A12" s="4"/>
      <c r="B12" s="1" t="s">
        <v>47</v>
      </c>
      <c r="C12" s="8">
        <v>6.3E-2</v>
      </c>
      <c r="D12" s="4"/>
      <c r="E12" s="4"/>
      <c r="F12" s="4"/>
    </row>
    <row r="13" spans="1:6" ht="15.95" customHeight="1" x14ac:dyDescent="0.25">
      <c r="A13" s="4"/>
      <c r="B13" s="1"/>
      <c r="C13" s="4"/>
      <c r="D13" s="4"/>
      <c r="E13" s="4"/>
      <c r="F13" s="4"/>
    </row>
    <row r="14" spans="1:6" ht="15.95" customHeight="1" x14ac:dyDescent="0.25">
      <c r="A14" s="4"/>
      <c r="B14" s="5" t="s">
        <v>48</v>
      </c>
      <c r="C14" s="6"/>
      <c r="D14" s="6"/>
      <c r="E14" s="6"/>
      <c r="F14" s="6"/>
    </row>
    <row r="15" spans="1:6" ht="15.95" customHeight="1" x14ac:dyDescent="0.25">
      <c r="A15" s="4"/>
      <c r="B15" s="9"/>
      <c r="C15" s="10" t="s">
        <v>49</v>
      </c>
      <c r="D15" s="10" t="s">
        <v>50</v>
      </c>
      <c r="E15" s="10" t="s">
        <v>51</v>
      </c>
      <c r="F15" s="10" t="s">
        <v>52</v>
      </c>
    </row>
    <row r="16" spans="1:6" ht="15.95" customHeight="1" x14ac:dyDescent="0.25">
      <c r="A16" s="4"/>
      <c r="B16" s="1" t="s">
        <v>53</v>
      </c>
      <c r="C16" s="11">
        <f>'Income Statement'!F7</f>
        <v>63627</v>
      </c>
      <c r="D16" s="11">
        <f>'Income Statement'!G7</f>
        <v>62600</v>
      </c>
      <c r="E16" s="11">
        <f>'Income Statement'!H7</f>
        <v>61800</v>
      </c>
      <c r="F16" s="11">
        <f>'Income Statement'!I7</f>
        <v>62400</v>
      </c>
    </row>
    <row r="17" spans="1:6" ht="15.95" customHeight="1" x14ac:dyDescent="0.25">
      <c r="A17" s="4"/>
      <c r="B17" s="1" t="s">
        <v>54</v>
      </c>
      <c r="C17" s="11">
        <f>'Income Statement'!F14</f>
        <v>20224</v>
      </c>
      <c r="D17" s="11">
        <f>'Income Statement'!G14</f>
        <v>20971</v>
      </c>
      <c r="E17" s="11">
        <f>'Income Statement'!H14</f>
        <v>21630</v>
      </c>
      <c r="F17" s="11">
        <f>'Income Statement'!I14</f>
        <v>22776</v>
      </c>
    </row>
    <row r="18" spans="1:6" ht="15.95" customHeight="1" x14ac:dyDescent="0.25">
      <c r="A18" s="4"/>
      <c r="B18" s="1" t="s">
        <v>11</v>
      </c>
      <c r="C18" s="8">
        <f>'Income Statement'!F15</f>
        <v>0.31785248400836125</v>
      </c>
      <c r="D18" s="8">
        <f>'Income Statement'!G15</f>
        <v>0.33500000000000002</v>
      </c>
      <c r="E18" s="8">
        <f>'Income Statement'!H15</f>
        <v>0.35</v>
      </c>
      <c r="F18" s="8">
        <f>'Income Statement'!I15</f>
        <v>0.36499999999999999</v>
      </c>
    </row>
    <row r="19" spans="1:6" ht="15.95" customHeight="1" x14ac:dyDescent="0.25">
      <c r="A19" s="4"/>
      <c r="B19" s="1" t="s">
        <v>55</v>
      </c>
      <c r="C19" s="11">
        <f>'Income Statement'!F25</f>
        <v>3164.6080000000002</v>
      </c>
      <c r="D19" s="11">
        <f>'Income Statement'!G25</f>
        <v>6369.177925</v>
      </c>
      <c r="E19" s="11">
        <f>'Income Statement'!H25</f>
        <v>7603.972925</v>
      </c>
      <c r="F19" s="11">
        <f>'Income Statement'!I25</f>
        <v>8979.1454249999988</v>
      </c>
    </row>
    <row r="20" spans="1:6" ht="15.95" customHeight="1" x14ac:dyDescent="0.25">
      <c r="A20" s="4"/>
      <c r="B20" s="1" t="s">
        <v>56</v>
      </c>
      <c r="C20" s="137">
        <f>'Income Statement'!F28</f>
        <v>1.41</v>
      </c>
      <c r="D20" s="137">
        <f>'Income Statement'!G28</f>
        <v>1.1173996359649123</v>
      </c>
      <c r="E20" s="137">
        <f>'Income Statement'!H28</f>
        <v>1.3340303377192984</v>
      </c>
      <c r="F20" s="137">
        <f>'Income Statement'!I28</f>
        <v>1.5752886710526313</v>
      </c>
    </row>
    <row r="21" spans="1:6" ht="15.95" customHeight="1" x14ac:dyDescent="0.25">
      <c r="A21" s="4"/>
      <c r="B21" s="1"/>
      <c r="C21" s="4"/>
      <c r="D21" s="4"/>
      <c r="E21" s="4"/>
      <c r="F21" s="4"/>
    </row>
    <row r="22" spans="1:6" ht="15.95" customHeight="1" x14ac:dyDescent="0.25">
      <c r="A22" s="4"/>
      <c r="B22" s="5" t="s">
        <v>57</v>
      </c>
      <c r="C22" s="6"/>
      <c r="D22" s="6"/>
      <c r="E22" s="6"/>
      <c r="F22" s="6"/>
    </row>
    <row r="23" spans="1:6" ht="15.95" customHeight="1" x14ac:dyDescent="0.25">
      <c r="A23" s="4"/>
      <c r="B23" s="9" t="s">
        <v>58</v>
      </c>
      <c r="C23" s="10" t="s">
        <v>59</v>
      </c>
      <c r="D23" s="10" t="s">
        <v>60</v>
      </c>
      <c r="E23" s="4"/>
      <c r="F23" s="4"/>
    </row>
    <row r="24" spans="1:6" ht="15.95" customHeight="1" x14ac:dyDescent="0.25">
      <c r="A24" s="4"/>
      <c r="B24" s="12" t="s">
        <v>61</v>
      </c>
      <c r="C24" s="138">
        <f>DCF!C38</f>
        <v>59.88786261151116</v>
      </c>
      <c r="D24" s="13">
        <f>DCF!C40</f>
        <v>1.2514234064477878</v>
      </c>
      <c r="E24" s="4"/>
      <c r="F24" s="4"/>
    </row>
    <row r="25" spans="1:6" ht="15.95" customHeight="1" x14ac:dyDescent="0.25">
      <c r="A25" s="4"/>
      <c r="B25" s="1" t="s">
        <v>62</v>
      </c>
      <c r="C25" s="137">
        <f>Comps!C22</f>
        <v>52.986842105263165</v>
      </c>
      <c r="D25" s="8">
        <f>C25/C9-1</f>
        <v>0.99198654531064512</v>
      </c>
      <c r="E25" s="4"/>
      <c r="F25" s="4"/>
    </row>
    <row r="26" spans="1:6" ht="15.95" customHeight="1" x14ac:dyDescent="0.25">
      <c r="A26" s="4"/>
      <c r="B26" s="1" t="s">
        <v>63</v>
      </c>
      <c r="C26" s="137">
        <f>Comps!C24</f>
        <v>20.655132270811404</v>
      </c>
      <c r="D26" s="8">
        <f>C26/C9-1</f>
        <v>-0.22349126801460895</v>
      </c>
      <c r="E26" s="4"/>
      <c r="F26" s="4"/>
    </row>
    <row r="27" spans="1:6" ht="15.95" customHeight="1" x14ac:dyDescent="0.25">
      <c r="A27" s="4"/>
      <c r="B27" s="1"/>
      <c r="C27" s="4"/>
      <c r="D27" s="4"/>
      <c r="E27" s="4"/>
      <c r="F27" s="4"/>
    </row>
    <row r="28" spans="1:6" ht="15.95" customHeight="1" x14ac:dyDescent="0.25">
      <c r="A28" s="4"/>
      <c r="B28" s="5" t="s">
        <v>64</v>
      </c>
      <c r="C28" s="6"/>
      <c r="D28" s="6"/>
      <c r="E28" s="6"/>
      <c r="F28" s="6"/>
    </row>
    <row r="29" spans="1:6" ht="15.95" customHeight="1" x14ac:dyDescent="0.25">
      <c r="A29" s="4"/>
      <c r="B29" s="1" t="s">
        <v>65</v>
      </c>
      <c r="C29" s="4"/>
      <c r="D29" s="4"/>
      <c r="E29" s="4"/>
      <c r="F29" s="4"/>
    </row>
    <row r="30" spans="1:6" ht="15.95" customHeight="1" x14ac:dyDescent="0.25">
      <c r="A30" s="4"/>
      <c r="B30" s="1" t="s">
        <v>66</v>
      </c>
      <c r="C30" s="4"/>
      <c r="D30" s="4"/>
      <c r="E30" s="4"/>
      <c r="F30" s="4"/>
    </row>
    <row r="31" spans="1:6" ht="15.95" customHeight="1" x14ac:dyDescent="0.25">
      <c r="A31" s="4"/>
      <c r="B31" s="1" t="s">
        <v>67</v>
      </c>
      <c r="C31" s="4"/>
      <c r="D31" s="4"/>
      <c r="E31" s="4"/>
      <c r="F31" s="4"/>
    </row>
    <row r="32" spans="1:6" ht="15.95" customHeight="1" x14ac:dyDescent="0.25">
      <c r="A32" s="4"/>
      <c r="B32" s="1" t="s">
        <v>68</v>
      </c>
      <c r="C32" s="4"/>
      <c r="D32" s="4"/>
      <c r="E32" s="4"/>
      <c r="F32" s="4"/>
    </row>
    <row r="33" spans="1:6" ht="15.95" customHeight="1" x14ac:dyDescent="0.25">
      <c r="A33" s="4"/>
      <c r="B33" s="1" t="s">
        <v>69</v>
      </c>
      <c r="C33" s="4"/>
      <c r="D33" s="4"/>
      <c r="E33" s="4"/>
      <c r="F33" s="4"/>
    </row>
    <row r="34" spans="1:6" ht="15.95" customHeight="1" x14ac:dyDescent="0.25">
      <c r="A34" s="4"/>
      <c r="B34" s="1" t="s">
        <v>70</v>
      </c>
      <c r="C34" s="4"/>
      <c r="D34" s="4"/>
      <c r="E34" s="4"/>
      <c r="F34" s="4"/>
    </row>
    <row r="35" spans="1:6" ht="15.95" customHeight="1" x14ac:dyDescent="0.25">
      <c r="A35" s="4"/>
      <c r="B35" s="1"/>
      <c r="C35" s="4"/>
      <c r="D35" s="4"/>
      <c r="E35" s="4"/>
      <c r="F35" s="4"/>
    </row>
    <row r="36" spans="1:6" ht="15.95" customHeight="1" x14ac:dyDescent="0.25">
      <c r="A36" s="4"/>
      <c r="B36" s="5" t="s">
        <v>71</v>
      </c>
      <c r="C36" s="6"/>
      <c r="D36" s="6"/>
      <c r="E36" s="6"/>
      <c r="F36" s="6"/>
    </row>
    <row r="37" spans="1:6" ht="15.95" customHeight="1" x14ac:dyDescent="0.25">
      <c r="A37" s="4"/>
      <c r="B37" s="1" t="s">
        <v>72</v>
      </c>
      <c r="C37" s="4"/>
      <c r="D37" s="4"/>
      <c r="E37" s="4"/>
      <c r="F37" s="4"/>
    </row>
    <row r="38" spans="1:6" ht="15.95" customHeight="1" x14ac:dyDescent="0.25">
      <c r="A38" s="4"/>
      <c r="B38" s="1" t="s">
        <v>73</v>
      </c>
      <c r="C38" s="4"/>
      <c r="D38" s="4"/>
      <c r="E38" s="4"/>
      <c r="F38" s="4"/>
    </row>
    <row r="39" spans="1:6" ht="15.95" customHeight="1" x14ac:dyDescent="0.25">
      <c r="A39" s="4"/>
      <c r="B39" s="1" t="s">
        <v>74</v>
      </c>
      <c r="C39" s="4"/>
      <c r="D39" s="4"/>
      <c r="E39" s="4"/>
      <c r="F39" s="4"/>
    </row>
    <row r="40" spans="1:6" ht="15.95" customHeight="1" x14ac:dyDescent="0.25">
      <c r="A40" s="4"/>
      <c r="B40" s="1" t="s">
        <v>75</v>
      </c>
      <c r="C40" s="4"/>
      <c r="D40" s="4"/>
      <c r="E40" s="4"/>
      <c r="F4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K54"/>
  <sheetViews>
    <sheetView showGridLines="0" topLeftCell="A5" zoomScaleNormal="100" workbookViewId="0">
      <pane xSplit="3" ySplit="5" topLeftCell="C10" activePane="bottomRight" state="frozen"/>
      <selection pane="topRight" activeCell="C5" sqref="C5"/>
      <selection pane="bottomLeft" activeCell="B6" sqref="B6"/>
      <selection pane="bottomRight" activeCell="B14" sqref="B14"/>
    </sheetView>
  </sheetViews>
  <sheetFormatPr defaultColWidth="13" defaultRowHeight="15" outlineLevelCol="2" x14ac:dyDescent="0.25"/>
  <cols>
    <col min="1" max="1" width="2" customWidth="1" outlineLevel="2"/>
    <col min="2" max="2" width="52" customWidth="1"/>
    <col min="3" max="11" width="13" customWidth="1"/>
    <col min="12" max="13" width="13" customWidth="1" outlineLevel="2"/>
    <col min="14" max="16384" width="13" outlineLevel="2"/>
  </cols>
  <sheetData>
    <row r="1" spans="1:11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95" customHeight="1" x14ac:dyDescent="0.25">
      <c r="A2" s="1"/>
      <c r="B2" s="2" t="s">
        <v>76</v>
      </c>
      <c r="C2" s="1"/>
      <c r="D2" s="1"/>
      <c r="E2" s="1"/>
      <c r="F2" s="1"/>
      <c r="G2" s="1"/>
      <c r="H2" s="1"/>
      <c r="I2" s="1"/>
      <c r="J2" s="1"/>
      <c r="K2" s="1"/>
    </row>
    <row r="3" spans="1:11" ht="15.95" customHeight="1" x14ac:dyDescent="0.25">
      <c r="A3" s="1"/>
      <c r="B3" s="3" t="s">
        <v>77</v>
      </c>
      <c r="C3" s="1"/>
      <c r="D3" s="1"/>
      <c r="E3" s="1"/>
      <c r="F3" s="1"/>
      <c r="G3" s="1"/>
      <c r="H3" s="1"/>
      <c r="I3" s="1"/>
      <c r="J3" s="1"/>
      <c r="K3" s="1"/>
    </row>
    <row r="4" spans="1:11" ht="15.95" customHeight="1" x14ac:dyDescent="0.25">
      <c r="A4" s="4"/>
      <c r="B4" s="1"/>
      <c r="C4" s="152" t="s">
        <v>78</v>
      </c>
      <c r="D4" s="153"/>
      <c r="E4" s="153"/>
      <c r="F4" s="153"/>
      <c r="G4" s="154" t="s">
        <v>79</v>
      </c>
      <c r="H4" s="153"/>
      <c r="I4" s="153"/>
      <c r="J4" s="153"/>
      <c r="K4" s="153"/>
    </row>
    <row r="5" spans="1:11" ht="15.95" customHeight="1" x14ac:dyDescent="0.25">
      <c r="A5" s="4"/>
      <c r="B5" s="5"/>
      <c r="C5" s="16" t="s">
        <v>80</v>
      </c>
      <c r="D5" s="16" t="s">
        <v>81</v>
      </c>
      <c r="E5" s="16" t="s">
        <v>82</v>
      </c>
      <c r="F5" s="16" t="s">
        <v>49</v>
      </c>
      <c r="G5" s="16" t="s">
        <v>50</v>
      </c>
      <c r="H5" s="16" t="s">
        <v>51</v>
      </c>
      <c r="I5" s="16" t="s">
        <v>52</v>
      </c>
      <c r="J5" s="16" t="s">
        <v>83</v>
      </c>
      <c r="K5" s="16" t="s">
        <v>84</v>
      </c>
    </row>
    <row r="6" spans="1:11" ht="15.95" customHeight="1" x14ac:dyDescent="0.25">
      <c r="A6" s="4"/>
      <c r="B6" s="1"/>
      <c r="C6" s="17"/>
      <c r="D6" s="17"/>
      <c r="E6" s="17"/>
      <c r="F6" s="17"/>
      <c r="G6" s="18"/>
      <c r="H6" s="18"/>
      <c r="I6" s="18"/>
      <c r="J6" s="18"/>
      <c r="K6" s="18"/>
    </row>
    <row r="7" spans="1:11" ht="15.95" customHeight="1" x14ac:dyDescent="0.25">
      <c r="A7" s="4"/>
      <c r="B7" s="19" t="s">
        <v>85</v>
      </c>
      <c r="C7" s="20"/>
      <c r="D7" s="20"/>
      <c r="E7" s="20"/>
      <c r="F7" s="20"/>
      <c r="G7" s="21"/>
      <c r="H7" s="21"/>
      <c r="I7" s="21"/>
      <c r="J7" s="21"/>
      <c r="K7" s="21"/>
    </row>
    <row r="8" spans="1:11" ht="15.95" customHeight="1" x14ac:dyDescent="0.25">
      <c r="A8" s="4"/>
      <c r="B8" s="1" t="s">
        <v>86</v>
      </c>
      <c r="C8" s="22">
        <v>81288</v>
      </c>
      <c r="D8" s="22">
        <v>100330</v>
      </c>
      <c r="E8" s="22">
        <v>59553</v>
      </c>
      <c r="F8" s="22">
        <v>63627</v>
      </c>
      <c r="G8" s="23">
        <v>62600</v>
      </c>
      <c r="H8" s="23">
        <v>61800</v>
      </c>
      <c r="I8" s="23">
        <v>62400</v>
      </c>
      <c r="J8" s="23">
        <v>64900</v>
      </c>
      <c r="K8" s="23">
        <v>68100</v>
      </c>
    </row>
    <row r="9" spans="1:11" ht="15.95" customHeight="1" x14ac:dyDescent="0.25">
      <c r="A9" s="4"/>
      <c r="B9" s="1" t="s">
        <v>87</v>
      </c>
      <c r="C9" s="24">
        <v>0.93967738856542904</v>
      </c>
      <c r="D9" s="24">
        <f t="shared" ref="D9:K9" si="0">D8/C8-1</f>
        <v>0.23425351835449271</v>
      </c>
      <c r="E9" s="24">
        <f t="shared" si="0"/>
        <v>-0.40642878500946877</v>
      </c>
      <c r="F9" s="24">
        <f t="shared" si="0"/>
        <v>6.8409651906705005E-2</v>
      </c>
      <c r="G9" s="25">
        <f t="shared" si="0"/>
        <v>-1.6140946453549576E-2</v>
      </c>
      <c r="H9" s="25">
        <f t="shared" si="0"/>
        <v>-1.2779552715655007E-2</v>
      </c>
      <c r="I9" s="25">
        <f t="shared" si="0"/>
        <v>9.7087378640776656E-3</v>
      </c>
      <c r="J9" s="25">
        <f t="shared" si="0"/>
        <v>4.0064102564102644E-2</v>
      </c>
      <c r="K9" s="25">
        <f t="shared" si="0"/>
        <v>4.9306625577812069E-2</v>
      </c>
    </row>
    <row r="10" spans="1:11" ht="15.95" customHeight="1" x14ac:dyDescent="0.25">
      <c r="A10" s="4"/>
      <c r="B10" s="1"/>
      <c r="C10" s="17"/>
      <c r="D10" s="17"/>
      <c r="E10" s="17"/>
      <c r="F10" s="17"/>
      <c r="G10" s="18"/>
      <c r="H10" s="18"/>
      <c r="I10" s="18"/>
      <c r="J10" s="18"/>
      <c r="K10" s="18"/>
    </row>
    <row r="11" spans="1:11" ht="15.95" customHeight="1" x14ac:dyDescent="0.25">
      <c r="A11" s="4"/>
      <c r="B11" s="19" t="s">
        <v>88</v>
      </c>
      <c r="C11" s="20"/>
      <c r="D11" s="20"/>
      <c r="E11" s="20"/>
      <c r="F11" s="20"/>
      <c r="G11" s="21"/>
      <c r="H11" s="21"/>
      <c r="I11" s="21"/>
      <c r="J11" s="21"/>
      <c r="K11" s="21"/>
    </row>
    <row r="12" spans="1:11" ht="15.95" customHeight="1" x14ac:dyDescent="0.25">
      <c r="A12" s="4"/>
      <c r="B12" s="1" t="s">
        <v>89</v>
      </c>
      <c r="C12" s="24">
        <v>0.375</v>
      </c>
      <c r="D12" s="24">
        <v>0.34200000000000003</v>
      </c>
      <c r="E12" s="24">
        <v>0.41899999999999998</v>
      </c>
      <c r="F12" s="24">
        <v>0.28100000000000003</v>
      </c>
      <c r="G12" s="26">
        <v>0.28000000000000003</v>
      </c>
      <c r="H12" s="26">
        <v>0.27500000000000002</v>
      </c>
      <c r="I12" s="26">
        <v>0.27</v>
      </c>
      <c r="J12" s="26">
        <v>0.26500000000000001</v>
      </c>
      <c r="K12" s="26">
        <v>0.26</v>
      </c>
    </row>
    <row r="13" spans="1:11" ht="15.95" customHeight="1" x14ac:dyDescent="0.25">
      <c r="A13" s="4"/>
      <c r="B13" s="1" t="s">
        <v>90</v>
      </c>
      <c r="C13" s="24">
        <v>0.156</v>
      </c>
      <c r="D13" s="24">
        <v>0.13500000000000001</v>
      </c>
      <c r="E13" s="24">
        <v>0.22600000000000001</v>
      </c>
      <c r="F13" s="24">
        <v>0.23200000000000001</v>
      </c>
      <c r="G13" s="26">
        <v>0.22</v>
      </c>
      <c r="H13" s="26">
        <v>0.215</v>
      </c>
      <c r="I13" s="26">
        <v>0.21</v>
      </c>
      <c r="J13" s="26">
        <v>0.20499999999999999</v>
      </c>
      <c r="K13" s="26">
        <v>0.2</v>
      </c>
    </row>
    <row r="14" spans="1:11" ht="15.95" customHeight="1" x14ac:dyDescent="0.25">
      <c r="A14" s="4"/>
      <c r="B14" s="1" t="s">
        <v>91</v>
      </c>
      <c r="C14" s="24">
        <v>0.127</v>
      </c>
      <c r="D14" s="24">
        <v>0.114</v>
      </c>
      <c r="E14" s="24">
        <v>0.19500000000000001</v>
      </c>
      <c r="F14" s="24">
        <v>0.17</v>
      </c>
      <c r="G14" s="26">
        <v>0.16500000000000001</v>
      </c>
      <c r="H14" s="26">
        <v>0.16</v>
      </c>
      <c r="I14" s="26">
        <v>0.155</v>
      </c>
      <c r="J14" s="26">
        <v>0.15</v>
      </c>
      <c r="K14" s="26">
        <v>0.14799999999999999</v>
      </c>
    </row>
    <row r="15" spans="1:11" ht="15.95" customHeight="1" x14ac:dyDescent="0.25">
      <c r="A15" s="4"/>
      <c r="B15" s="1" t="s">
        <v>92</v>
      </c>
      <c r="C15" s="24">
        <f t="shared" ref="C15:K15" si="1">1-C12</f>
        <v>0.625</v>
      </c>
      <c r="D15" s="24">
        <f t="shared" si="1"/>
        <v>0.65799999999999992</v>
      </c>
      <c r="E15" s="24">
        <f t="shared" si="1"/>
        <v>0.58099999999999996</v>
      </c>
      <c r="F15" s="24">
        <f t="shared" si="1"/>
        <v>0.71899999999999997</v>
      </c>
      <c r="G15" s="25">
        <f t="shared" si="1"/>
        <v>0.72</v>
      </c>
      <c r="H15" s="25">
        <f t="shared" si="1"/>
        <v>0.72499999999999998</v>
      </c>
      <c r="I15" s="25">
        <f t="shared" si="1"/>
        <v>0.73</v>
      </c>
      <c r="J15" s="25">
        <f t="shared" si="1"/>
        <v>0.73499999999999999</v>
      </c>
      <c r="K15" s="25">
        <f t="shared" si="1"/>
        <v>0.74</v>
      </c>
    </row>
    <row r="16" spans="1:11" ht="15.95" customHeight="1" x14ac:dyDescent="0.25">
      <c r="A16" s="4"/>
      <c r="B16" s="1" t="s">
        <v>93</v>
      </c>
      <c r="C16" s="24">
        <f t="shared" ref="C16:K16" si="2">C15-C13-C14</f>
        <v>0.34199999999999997</v>
      </c>
      <c r="D16" s="24">
        <f t="shared" si="2"/>
        <v>0.40899999999999992</v>
      </c>
      <c r="E16" s="24">
        <f t="shared" si="2"/>
        <v>0.15999999999999998</v>
      </c>
      <c r="F16" s="24">
        <f t="shared" si="2"/>
        <v>0.31699999999999995</v>
      </c>
      <c r="G16" s="25">
        <f t="shared" si="2"/>
        <v>0.33499999999999996</v>
      </c>
      <c r="H16" s="25">
        <f t="shared" si="2"/>
        <v>0.35</v>
      </c>
      <c r="I16" s="25">
        <f t="shared" si="2"/>
        <v>0.36499999999999999</v>
      </c>
      <c r="J16" s="25">
        <f t="shared" si="2"/>
        <v>0.38</v>
      </c>
      <c r="K16" s="25">
        <f t="shared" si="2"/>
        <v>0.39200000000000002</v>
      </c>
    </row>
    <row r="17" spans="1:11" ht="15.95" customHeight="1" x14ac:dyDescent="0.25">
      <c r="A17" s="4"/>
      <c r="B17" s="1"/>
      <c r="C17" s="17"/>
      <c r="D17" s="17"/>
      <c r="E17" s="17"/>
      <c r="F17" s="17"/>
      <c r="G17" s="18"/>
      <c r="H17" s="18"/>
      <c r="I17" s="18"/>
      <c r="J17" s="18"/>
      <c r="K17" s="18"/>
    </row>
    <row r="18" spans="1:11" ht="15.95" customHeight="1" x14ac:dyDescent="0.25">
      <c r="A18" s="4"/>
      <c r="B18" s="19" t="s">
        <v>94</v>
      </c>
      <c r="C18" s="20"/>
      <c r="D18" s="20"/>
      <c r="E18" s="20"/>
      <c r="F18" s="20"/>
      <c r="G18" s="21"/>
      <c r="H18" s="21"/>
      <c r="I18" s="21"/>
      <c r="J18" s="21"/>
      <c r="K18" s="21"/>
    </row>
    <row r="19" spans="1:11" ht="15.95" customHeight="1" x14ac:dyDescent="0.25">
      <c r="A19" s="4"/>
      <c r="B19" s="1" t="s">
        <v>95</v>
      </c>
      <c r="C19" s="22">
        <v>3700</v>
      </c>
      <c r="D19" s="22">
        <v>3609</v>
      </c>
      <c r="E19" s="22">
        <v>4751</v>
      </c>
      <c r="F19" s="22">
        <v>5286</v>
      </c>
      <c r="G19" s="23">
        <v>5000</v>
      </c>
      <c r="H19" s="23">
        <v>4800</v>
      </c>
      <c r="I19" s="23">
        <v>4600</v>
      </c>
      <c r="J19" s="23">
        <v>4400</v>
      </c>
      <c r="K19" s="23">
        <v>4200</v>
      </c>
    </row>
    <row r="20" spans="1:11" ht="15.95" customHeight="1" x14ac:dyDescent="0.25">
      <c r="A20" s="4"/>
      <c r="B20" s="1" t="s">
        <v>96</v>
      </c>
      <c r="C20" s="22">
        <v>417</v>
      </c>
      <c r="D20" s="22">
        <v>486</v>
      </c>
      <c r="E20" s="22">
        <v>3610</v>
      </c>
      <c r="F20" s="22">
        <v>2419</v>
      </c>
      <c r="G20" s="23">
        <v>1500</v>
      </c>
      <c r="H20" s="23">
        <v>1000</v>
      </c>
      <c r="I20" s="23">
        <v>750</v>
      </c>
      <c r="J20" s="23">
        <v>500</v>
      </c>
      <c r="K20" s="23">
        <v>300</v>
      </c>
    </row>
    <row r="21" spans="1:11" ht="15.95" customHeight="1" x14ac:dyDescent="0.25">
      <c r="A21" s="4"/>
      <c r="B21" s="1" t="s">
        <v>97</v>
      </c>
      <c r="C21" s="22">
        <v>1437</v>
      </c>
      <c r="D21" s="22">
        <v>2059</v>
      </c>
      <c r="E21" s="22">
        <v>-3225</v>
      </c>
      <c r="F21" s="22">
        <v>4388</v>
      </c>
      <c r="G21" s="23">
        <v>2500</v>
      </c>
      <c r="H21" s="23">
        <v>2500</v>
      </c>
      <c r="I21" s="23">
        <v>2500</v>
      </c>
      <c r="J21" s="23">
        <v>2500</v>
      </c>
      <c r="K21" s="23">
        <v>2500</v>
      </c>
    </row>
    <row r="22" spans="1:11" ht="15.95" customHeight="1" x14ac:dyDescent="0.25">
      <c r="A22" s="4"/>
      <c r="B22" s="1" t="s">
        <v>98</v>
      </c>
      <c r="C22" s="24">
        <v>6.3E-2</v>
      </c>
      <c r="D22" s="24">
        <v>8.5000000000000006E-2</v>
      </c>
      <c r="E22" s="24">
        <v>-0.48399999999999999</v>
      </c>
      <c r="F22" s="24">
        <v>-4.0000000000000001E-3</v>
      </c>
      <c r="G22" s="26">
        <v>0.15</v>
      </c>
      <c r="H22" s="26">
        <v>0.15</v>
      </c>
      <c r="I22" s="26">
        <v>0.15</v>
      </c>
      <c r="J22" s="26">
        <v>0.15</v>
      </c>
      <c r="K22" s="26">
        <v>0.15</v>
      </c>
    </row>
    <row r="23" spans="1:11" ht="15.95" customHeight="1" x14ac:dyDescent="0.25">
      <c r="A23" s="4"/>
      <c r="B23" s="1"/>
      <c r="C23" s="17"/>
      <c r="D23" s="17"/>
      <c r="E23" s="17"/>
      <c r="F23" s="17"/>
      <c r="G23" s="18"/>
      <c r="H23" s="18"/>
      <c r="I23" s="18"/>
      <c r="J23" s="18"/>
      <c r="K23" s="18"/>
    </row>
    <row r="24" spans="1:11" ht="15.95" customHeight="1" x14ac:dyDescent="0.25">
      <c r="A24" s="4"/>
      <c r="B24" s="19" t="s">
        <v>99</v>
      </c>
      <c r="C24" s="20"/>
      <c r="D24" s="20"/>
      <c r="E24" s="20"/>
      <c r="F24" s="20"/>
      <c r="G24" s="21"/>
      <c r="H24" s="21"/>
      <c r="I24" s="21"/>
      <c r="J24" s="21"/>
      <c r="K24" s="21"/>
    </row>
    <row r="25" spans="1:11" ht="15.95" customHeight="1" x14ac:dyDescent="0.25">
      <c r="A25" s="4"/>
      <c r="B25" s="1" t="s">
        <v>100</v>
      </c>
      <c r="C25" s="27">
        <v>52</v>
      </c>
      <c r="D25" s="27">
        <v>40</v>
      </c>
      <c r="E25" s="27">
        <v>71</v>
      </c>
      <c r="F25" s="27">
        <v>66</v>
      </c>
      <c r="G25" s="28">
        <v>65</v>
      </c>
      <c r="H25" s="28">
        <v>65</v>
      </c>
      <c r="I25" s="28">
        <v>65</v>
      </c>
      <c r="J25" s="28">
        <v>65</v>
      </c>
      <c r="K25" s="28">
        <v>65</v>
      </c>
    </row>
    <row r="26" spans="1:11" ht="15.95" customHeight="1" x14ac:dyDescent="0.25">
      <c r="A26" s="4"/>
      <c r="B26" s="1" t="s">
        <v>101</v>
      </c>
      <c r="C26" s="27">
        <v>108</v>
      </c>
      <c r="D26" s="27">
        <v>95</v>
      </c>
      <c r="E26" s="27">
        <v>149</v>
      </c>
      <c r="F26" s="27">
        <v>222</v>
      </c>
      <c r="G26" s="28">
        <v>180</v>
      </c>
      <c r="H26" s="28">
        <v>170</v>
      </c>
      <c r="I26" s="28">
        <v>160</v>
      </c>
      <c r="J26" s="28">
        <v>155</v>
      </c>
      <c r="K26" s="28">
        <v>150</v>
      </c>
    </row>
    <row r="27" spans="1:11" ht="15.95" customHeight="1" x14ac:dyDescent="0.25">
      <c r="A27" s="4"/>
      <c r="B27" s="1" t="s">
        <v>102</v>
      </c>
      <c r="C27" s="27">
        <v>82</v>
      </c>
      <c r="D27" s="27">
        <v>59</v>
      </c>
      <c r="E27" s="27">
        <v>82</v>
      </c>
      <c r="F27" s="27">
        <v>115</v>
      </c>
      <c r="G27" s="28">
        <v>100</v>
      </c>
      <c r="H27" s="28">
        <v>100</v>
      </c>
      <c r="I27" s="28">
        <v>100</v>
      </c>
      <c r="J27" s="28">
        <v>100</v>
      </c>
      <c r="K27" s="28">
        <v>100</v>
      </c>
    </row>
    <row r="28" spans="1:11" ht="15.95" customHeight="1" x14ac:dyDescent="0.25">
      <c r="A28" s="4"/>
      <c r="B28" s="1" t="s">
        <v>103</v>
      </c>
      <c r="C28" s="24">
        <v>5.7000000000000002E-2</v>
      </c>
      <c r="D28" s="24">
        <v>6.0999999999999999E-2</v>
      </c>
      <c r="E28" s="24">
        <v>0.105</v>
      </c>
      <c r="F28" s="24">
        <v>0.11899999999999999</v>
      </c>
      <c r="G28" s="26">
        <v>0.1</v>
      </c>
      <c r="H28" s="26">
        <v>9.5000000000000001E-2</v>
      </c>
      <c r="I28" s="26">
        <v>0.09</v>
      </c>
      <c r="J28" s="26">
        <v>8.7999999999999995E-2</v>
      </c>
      <c r="K28" s="26">
        <v>8.5000000000000006E-2</v>
      </c>
    </row>
    <row r="29" spans="1:11" ht="15.95" customHeight="1" x14ac:dyDescent="0.25">
      <c r="A29" s="4"/>
      <c r="B29" s="1" t="s">
        <v>104</v>
      </c>
      <c r="C29" s="24">
        <v>0.24199999999999999</v>
      </c>
      <c r="D29" s="24">
        <v>0.20300000000000001</v>
      </c>
      <c r="E29" s="24">
        <v>0.47499999999999998</v>
      </c>
      <c r="F29" s="24">
        <v>0.47799999999999998</v>
      </c>
      <c r="G29" s="26">
        <v>0.45</v>
      </c>
      <c r="H29" s="26">
        <v>0.43</v>
      </c>
      <c r="I29" s="26">
        <v>0.41</v>
      </c>
      <c r="J29" s="26">
        <v>0.4</v>
      </c>
      <c r="K29" s="26">
        <v>0.39</v>
      </c>
    </row>
    <row r="30" spans="1:11" ht="15.95" customHeight="1" x14ac:dyDescent="0.25">
      <c r="A30" s="4"/>
      <c r="B30" s="1"/>
      <c r="C30" s="17"/>
      <c r="D30" s="17"/>
      <c r="E30" s="17"/>
      <c r="F30" s="17"/>
      <c r="G30" s="18"/>
      <c r="H30" s="18"/>
      <c r="I30" s="18"/>
      <c r="J30" s="18"/>
      <c r="K30" s="18"/>
    </row>
    <row r="31" spans="1:11" ht="15.95" customHeight="1" x14ac:dyDescent="0.25">
      <c r="A31" s="4"/>
      <c r="B31" s="19" t="s">
        <v>105</v>
      </c>
      <c r="C31" s="20"/>
      <c r="D31" s="20"/>
      <c r="E31" s="20"/>
      <c r="F31" s="20"/>
      <c r="G31" s="21"/>
      <c r="H31" s="21"/>
      <c r="I31" s="21"/>
      <c r="J31" s="21"/>
      <c r="K31" s="21"/>
    </row>
    <row r="32" spans="1:11" ht="15.95" customHeight="1" x14ac:dyDescent="0.25">
      <c r="A32" s="4"/>
      <c r="B32" s="1" t="s">
        <v>106</v>
      </c>
      <c r="C32" s="24">
        <v>3.3000000000000002E-2</v>
      </c>
      <c r="D32" s="24">
        <v>3.2000000000000001E-2</v>
      </c>
      <c r="E32" s="24">
        <v>6.6000000000000003E-2</v>
      </c>
      <c r="F32" s="24">
        <v>4.5999999999999999E-2</v>
      </c>
      <c r="G32" s="26">
        <v>4.4999999999999998E-2</v>
      </c>
      <c r="H32" s="26">
        <v>4.2999999999999997E-2</v>
      </c>
      <c r="I32" s="26">
        <v>4.2000000000000003E-2</v>
      </c>
      <c r="J32" s="26">
        <v>0.04</v>
      </c>
      <c r="K32" s="26">
        <v>3.7999999999999999E-2</v>
      </c>
    </row>
    <row r="33" spans="1:11" ht="15.95" customHeight="1" x14ac:dyDescent="0.25">
      <c r="A33" s="4"/>
      <c r="B33" s="1" t="s">
        <v>107</v>
      </c>
      <c r="C33" s="22">
        <v>1491</v>
      </c>
      <c r="D33" s="22">
        <v>1455</v>
      </c>
      <c r="E33" s="22">
        <v>1539</v>
      </c>
      <c r="F33" s="22">
        <v>1727</v>
      </c>
      <c r="G33" s="23">
        <v>1800</v>
      </c>
      <c r="H33" s="23">
        <v>1850</v>
      </c>
      <c r="I33" s="23">
        <v>1900</v>
      </c>
      <c r="J33" s="23">
        <v>1950</v>
      </c>
      <c r="K33" s="23">
        <v>2000</v>
      </c>
    </row>
    <row r="34" spans="1:11" ht="15.95" customHeight="1" x14ac:dyDescent="0.25">
      <c r="A34" s="4"/>
      <c r="B34" s="1"/>
      <c r="C34" s="17"/>
      <c r="D34" s="17"/>
      <c r="E34" s="17"/>
      <c r="F34" s="17"/>
      <c r="G34" s="18"/>
      <c r="H34" s="18"/>
      <c r="I34" s="18"/>
      <c r="J34" s="18"/>
      <c r="K34" s="18"/>
    </row>
    <row r="35" spans="1:11" ht="15.95" customHeight="1" x14ac:dyDescent="0.25">
      <c r="A35" s="4"/>
      <c r="B35" s="19" t="s">
        <v>108</v>
      </c>
      <c r="C35" s="20"/>
      <c r="D35" s="20"/>
      <c r="E35" s="20"/>
      <c r="F35" s="20"/>
      <c r="G35" s="21"/>
      <c r="H35" s="21"/>
      <c r="I35" s="21"/>
      <c r="J35" s="21"/>
      <c r="K35" s="21"/>
    </row>
    <row r="36" spans="1:11" ht="15.95" customHeight="1" x14ac:dyDescent="0.25">
      <c r="A36" s="4"/>
      <c r="B36" s="1" t="s">
        <v>109</v>
      </c>
      <c r="C36" s="139">
        <v>1.56</v>
      </c>
      <c r="D36" s="139">
        <v>1.64</v>
      </c>
      <c r="E36" s="139">
        <v>1.64</v>
      </c>
      <c r="F36" s="139">
        <v>1.68</v>
      </c>
      <c r="G36" s="140">
        <v>1.68</v>
      </c>
      <c r="H36" s="140">
        <v>1.72</v>
      </c>
      <c r="I36" s="140">
        <v>1.76</v>
      </c>
      <c r="J36" s="140">
        <v>1.8</v>
      </c>
      <c r="K36" s="140">
        <v>1.84</v>
      </c>
    </row>
    <row r="37" spans="1:11" ht="15.95" customHeight="1" x14ac:dyDescent="0.25">
      <c r="A37" s="4"/>
      <c r="B37" s="1" t="s">
        <v>110</v>
      </c>
      <c r="C37" s="22">
        <v>5708</v>
      </c>
      <c r="D37" s="22">
        <v>5733</v>
      </c>
      <c r="E37" s="22">
        <v>5709</v>
      </c>
      <c r="F37" s="22">
        <v>5700</v>
      </c>
      <c r="G37" s="23">
        <v>5700</v>
      </c>
      <c r="H37" s="23">
        <v>5700</v>
      </c>
      <c r="I37" s="23">
        <v>5700</v>
      </c>
      <c r="J37" s="23">
        <v>5700</v>
      </c>
      <c r="K37" s="23">
        <v>5700</v>
      </c>
    </row>
    <row r="38" spans="1:11" ht="15.95" customHeight="1" x14ac:dyDescent="0.25">
      <c r="A38" s="4"/>
      <c r="B38" s="1" t="s">
        <v>111</v>
      </c>
      <c r="C38" s="22">
        <v>2114</v>
      </c>
      <c r="D38" s="22">
        <v>3283</v>
      </c>
      <c r="E38" s="22">
        <v>2000</v>
      </c>
      <c r="F38" s="22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</row>
    <row r="39" spans="1:11" ht="15.95" customHeight="1" x14ac:dyDescent="0.25">
      <c r="A39" s="4"/>
      <c r="B39" s="1"/>
      <c r="C39" s="17"/>
      <c r="D39" s="17"/>
      <c r="E39" s="17"/>
      <c r="F39" s="17"/>
      <c r="G39" s="18"/>
      <c r="H39" s="18"/>
      <c r="I39" s="18"/>
      <c r="J39" s="18"/>
      <c r="K39" s="18"/>
    </row>
    <row r="40" spans="1:11" ht="15.95" customHeight="1" x14ac:dyDescent="0.25">
      <c r="A40" s="4"/>
      <c r="B40" s="19" t="s">
        <v>112</v>
      </c>
      <c r="C40" s="20"/>
      <c r="D40" s="20"/>
      <c r="E40" s="20"/>
      <c r="F40" s="20"/>
      <c r="G40" s="21"/>
      <c r="H40" s="21"/>
      <c r="I40" s="21"/>
      <c r="J40" s="21"/>
      <c r="K40" s="21"/>
    </row>
    <row r="41" spans="1:11" ht="15.95" customHeight="1" x14ac:dyDescent="0.25">
      <c r="A41" s="4"/>
      <c r="B41" s="1" t="s">
        <v>113</v>
      </c>
      <c r="C41" s="29">
        <v>4.1500000000000002E-2</v>
      </c>
      <c r="D41" s="30"/>
      <c r="E41" s="30"/>
      <c r="F41" s="30"/>
      <c r="G41" s="31"/>
      <c r="H41" s="31"/>
      <c r="I41" s="31"/>
      <c r="J41" s="31"/>
      <c r="K41" s="31"/>
    </row>
    <row r="42" spans="1:11" ht="15.95" customHeight="1" x14ac:dyDescent="0.25">
      <c r="A42" s="4"/>
      <c r="B42" s="1" t="s">
        <v>114</v>
      </c>
      <c r="C42" s="29">
        <v>4.2299999999999997E-2</v>
      </c>
      <c r="D42" s="30"/>
      <c r="E42" s="30"/>
      <c r="F42" s="30"/>
      <c r="G42" s="31"/>
      <c r="H42" s="31"/>
      <c r="I42" s="31"/>
      <c r="J42" s="31"/>
      <c r="K42" s="31"/>
    </row>
    <row r="43" spans="1:11" ht="15.95" customHeight="1" x14ac:dyDescent="0.25">
      <c r="A43" s="4"/>
      <c r="B43" s="1" t="s">
        <v>115</v>
      </c>
      <c r="C43" s="32">
        <v>0.41</v>
      </c>
      <c r="D43" s="33"/>
      <c r="E43" s="33"/>
      <c r="F43" s="33"/>
      <c r="G43" s="34"/>
      <c r="H43" s="34"/>
      <c r="I43" s="34"/>
      <c r="J43" s="34"/>
      <c r="K43" s="34"/>
    </row>
    <row r="44" spans="1:11" ht="15.95" customHeight="1" x14ac:dyDescent="0.25">
      <c r="A44" s="4"/>
      <c r="B44" s="1" t="s">
        <v>116</v>
      </c>
      <c r="C44" s="29">
        <v>4.7899999999999998E-2</v>
      </c>
      <c r="D44" s="30"/>
      <c r="E44" s="30"/>
      <c r="F44" s="30"/>
      <c r="G44" s="31"/>
      <c r="H44" s="31"/>
      <c r="I44" s="31"/>
      <c r="J44" s="31"/>
      <c r="K44" s="31"/>
    </row>
    <row r="45" spans="1:11" ht="15.95" customHeight="1" x14ac:dyDescent="0.25">
      <c r="A45" s="4"/>
      <c r="B45" s="1" t="s">
        <v>41</v>
      </c>
      <c r="C45" s="35">
        <v>152.4</v>
      </c>
      <c r="D45" s="36"/>
      <c r="E45" s="36"/>
      <c r="F45" s="36"/>
      <c r="G45" s="37"/>
      <c r="H45" s="37"/>
      <c r="I45" s="37"/>
      <c r="J45" s="37"/>
      <c r="K45" s="37"/>
    </row>
    <row r="46" spans="1:11" ht="15.95" customHeight="1" x14ac:dyDescent="0.25">
      <c r="A46" s="4"/>
      <c r="B46" s="1" t="s">
        <v>117</v>
      </c>
      <c r="C46" s="35">
        <v>60.8</v>
      </c>
      <c r="D46" s="36"/>
      <c r="E46" s="36"/>
      <c r="F46" s="36"/>
      <c r="G46" s="37"/>
      <c r="H46" s="37"/>
      <c r="I46" s="37"/>
      <c r="J46" s="37"/>
      <c r="K46" s="37"/>
    </row>
    <row r="47" spans="1:11" ht="15.95" customHeight="1" x14ac:dyDescent="0.25">
      <c r="A47" s="4"/>
      <c r="B47" s="1" t="s">
        <v>118</v>
      </c>
      <c r="C47" s="38">
        <v>0.15</v>
      </c>
      <c r="D47" s="24"/>
      <c r="E47" s="24"/>
      <c r="F47" s="24"/>
      <c r="G47" s="25"/>
      <c r="H47" s="25"/>
      <c r="I47" s="25"/>
      <c r="J47" s="25"/>
      <c r="K47" s="25"/>
    </row>
    <row r="48" spans="1:11" ht="15.95" customHeight="1" x14ac:dyDescent="0.25">
      <c r="A48" s="4"/>
      <c r="B48" s="1" t="s">
        <v>119</v>
      </c>
      <c r="C48" s="38">
        <v>0.02</v>
      </c>
      <c r="D48" s="24"/>
      <c r="E48" s="24"/>
      <c r="F48" s="24"/>
      <c r="G48" s="25"/>
      <c r="H48" s="25"/>
      <c r="I48" s="25"/>
      <c r="J48" s="25"/>
      <c r="K48" s="25"/>
    </row>
    <row r="49" spans="1:11" ht="15.95" customHeight="1" x14ac:dyDescent="0.25">
      <c r="A49" s="4"/>
      <c r="B49" s="1"/>
      <c r="C49" s="17"/>
      <c r="D49" s="17"/>
      <c r="E49" s="17"/>
      <c r="F49" s="17"/>
      <c r="G49" s="18"/>
      <c r="H49" s="18"/>
      <c r="I49" s="18"/>
      <c r="J49" s="18"/>
      <c r="K49" s="18"/>
    </row>
    <row r="50" spans="1:11" ht="15.95" customHeight="1" x14ac:dyDescent="0.25">
      <c r="A50" s="4"/>
      <c r="B50" s="19" t="s">
        <v>120</v>
      </c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5.95" customHeight="1" x14ac:dyDescent="0.25">
      <c r="A51" s="4"/>
      <c r="B51" s="1" t="s">
        <v>121</v>
      </c>
      <c r="C51" s="30">
        <f>C41+C43*C42</f>
        <v>5.8842999999999999E-2</v>
      </c>
      <c r="D51" s="30"/>
      <c r="E51" s="30"/>
      <c r="F51" s="30"/>
      <c r="G51" s="31"/>
      <c r="H51" s="31"/>
      <c r="I51" s="31"/>
      <c r="J51" s="31"/>
      <c r="K51" s="31"/>
    </row>
    <row r="52" spans="1:11" ht="15.95" customHeight="1" x14ac:dyDescent="0.25">
      <c r="A52" s="4"/>
      <c r="B52" s="1" t="s">
        <v>122</v>
      </c>
      <c r="C52" s="24">
        <f>C46/(C45+C46)</f>
        <v>0.28517823639774859</v>
      </c>
      <c r="D52" s="24"/>
      <c r="E52" s="24"/>
      <c r="F52" s="24"/>
      <c r="G52" s="25"/>
      <c r="H52" s="25"/>
      <c r="I52" s="25"/>
      <c r="J52" s="25"/>
      <c r="K52" s="25"/>
    </row>
    <row r="53" spans="1:11" ht="15.95" customHeight="1" x14ac:dyDescent="0.25">
      <c r="A53" s="4"/>
      <c r="B53" s="1" t="s">
        <v>123</v>
      </c>
      <c r="C53" s="24">
        <f>C45/(C45+C46)</f>
        <v>0.71482176360225147</v>
      </c>
      <c r="D53" s="24"/>
      <c r="E53" s="24"/>
      <c r="F53" s="24"/>
      <c r="G53" s="25"/>
      <c r="H53" s="25"/>
      <c r="I53" s="25"/>
      <c r="J53" s="25"/>
      <c r="K53" s="25"/>
    </row>
    <row r="54" spans="1:11" ht="15.95" customHeight="1" x14ac:dyDescent="0.25">
      <c r="A54" s="4"/>
      <c r="B54" s="1" t="s">
        <v>124</v>
      </c>
      <c r="C54" s="30">
        <f>C53*C51+C52*C44*(1-C47)</f>
        <v>5.3673288930581611E-2</v>
      </c>
      <c r="D54" s="30"/>
      <c r="E54" s="30"/>
      <c r="F54" s="30"/>
      <c r="G54" s="31"/>
      <c r="H54" s="31"/>
      <c r="I54" s="31"/>
      <c r="J54" s="31"/>
      <c r="K54" s="31"/>
    </row>
  </sheetData>
  <mergeCells count="2">
    <mergeCell ref="C4:F4"/>
    <mergeCell ref="G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K29"/>
  <sheetViews>
    <sheetView showGridLines="0" tabSelected="1" workbookViewId="0">
      <pane xSplit="2" ySplit="5" topLeftCell="C6" activePane="bottomRight" state="frozen"/>
      <selection pane="topRight"/>
      <selection pane="bottomLeft" activeCell="A6" sqref="A6"/>
      <selection pane="bottomRight" activeCell="C17" sqref="C17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11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95" customHeight="1" x14ac:dyDescent="0.25">
      <c r="A2" s="1"/>
      <c r="B2" s="2" t="s">
        <v>125</v>
      </c>
      <c r="C2" s="1"/>
      <c r="D2" s="1"/>
      <c r="E2" s="1"/>
      <c r="F2" s="1"/>
      <c r="G2" s="1"/>
      <c r="H2" s="1"/>
      <c r="I2" s="1"/>
      <c r="J2" s="1"/>
      <c r="K2" s="1"/>
    </row>
    <row r="3" spans="1:11" ht="15.95" customHeight="1" x14ac:dyDescent="0.25">
      <c r="A3" s="1"/>
      <c r="B3" s="3" t="s">
        <v>126</v>
      </c>
      <c r="C3" s="1"/>
      <c r="D3" s="1"/>
      <c r="E3" s="1"/>
      <c r="F3" s="1"/>
      <c r="G3" s="1"/>
      <c r="H3" s="1"/>
      <c r="I3" s="1"/>
      <c r="J3" s="1"/>
      <c r="K3" s="1"/>
    </row>
    <row r="4" spans="1:11" ht="15.95" customHeight="1" x14ac:dyDescent="0.25">
      <c r="A4" s="4"/>
      <c r="B4" s="1"/>
      <c r="C4" s="14" t="s">
        <v>78</v>
      </c>
      <c r="D4" s="14"/>
      <c r="E4" s="14"/>
      <c r="F4" s="14"/>
      <c r="G4" s="15" t="s">
        <v>79</v>
      </c>
      <c r="H4" s="15"/>
      <c r="I4" s="15"/>
      <c r="J4" s="15"/>
      <c r="K4" s="15"/>
    </row>
    <row r="5" spans="1:11" ht="15.95" customHeight="1" x14ac:dyDescent="0.25">
      <c r="A5" s="4"/>
      <c r="B5" s="39"/>
      <c r="C5" s="16" t="s">
        <v>80</v>
      </c>
      <c r="D5" s="16" t="s">
        <v>81</v>
      </c>
      <c r="E5" s="16" t="s">
        <v>82</v>
      </c>
      <c r="F5" s="40" t="s">
        <v>49</v>
      </c>
      <c r="G5" s="16" t="s">
        <v>50</v>
      </c>
      <c r="H5" s="16" t="s">
        <v>51</v>
      </c>
      <c r="I5" s="16" t="s">
        <v>52</v>
      </c>
      <c r="J5" s="16" t="s">
        <v>83</v>
      </c>
      <c r="K5" s="16" t="s">
        <v>84</v>
      </c>
    </row>
    <row r="6" spans="1:11" ht="15.95" customHeight="1" x14ac:dyDescent="0.25">
      <c r="A6" s="4"/>
      <c r="B6" s="41" t="s">
        <v>127</v>
      </c>
      <c r="C6" s="42"/>
      <c r="D6" s="42"/>
      <c r="E6" s="42"/>
      <c r="F6" s="43"/>
      <c r="G6" s="42"/>
      <c r="H6" s="42"/>
      <c r="I6" s="42"/>
      <c r="J6" s="42"/>
      <c r="K6" s="42"/>
    </row>
    <row r="7" spans="1:11" ht="15.95" customHeight="1" x14ac:dyDescent="0.25">
      <c r="A7" s="4"/>
      <c r="B7" s="1" t="s">
        <v>86</v>
      </c>
      <c r="C7" s="44">
        <v>81288</v>
      </c>
      <c r="D7" s="44">
        <v>100330</v>
      </c>
      <c r="E7" s="44">
        <v>59553</v>
      </c>
      <c r="F7" s="45">
        <v>63627</v>
      </c>
      <c r="G7" s="46">
        <f>Assumptions!G8</f>
        <v>62600</v>
      </c>
      <c r="H7" s="46">
        <f>Assumptions!H8</f>
        <v>61800</v>
      </c>
      <c r="I7" s="46">
        <f>Assumptions!I8</f>
        <v>62400</v>
      </c>
      <c r="J7" s="46">
        <f>Assumptions!J8</f>
        <v>64900</v>
      </c>
      <c r="K7" s="46">
        <f>Assumptions!K8</f>
        <v>68100</v>
      </c>
    </row>
    <row r="8" spans="1:11" ht="15.95" customHeight="1" x14ac:dyDescent="0.25">
      <c r="A8" s="4"/>
      <c r="B8" s="1" t="s">
        <v>128</v>
      </c>
      <c r="C8" s="44">
        <v>-30483</v>
      </c>
      <c r="D8" s="44">
        <v>-34344</v>
      </c>
      <c r="E8" s="44">
        <v>-24954</v>
      </c>
      <c r="F8" s="45">
        <v>-17851</v>
      </c>
      <c r="G8" s="46">
        <f>-G7*Assumptions!G12</f>
        <v>-17528</v>
      </c>
      <c r="H8" s="46">
        <f>-H7*Assumptions!H12</f>
        <v>-16995</v>
      </c>
      <c r="I8" s="46">
        <f>-I7*Assumptions!I12</f>
        <v>-16848</v>
      </c>
      <c r="J8" s="46">
        <f>-J7*Assumptions!J12</f>
        <v>-17198.5</v>
      </c>
      <c r="K8" s="46">
        <f>-K7*Assumptions!K12</f>
        <v>-17706</v>
      </c>
    </row>
    <row r="9" spans="1:11" ht="15.95" customHeight="1" x14ac:dyDescent="0.25">
      <c r="A9" s="4"/>
      <c r="B9" s="9" t="s">
        <v>129</v>
      </c>
      <c r="C9" s="47">
        <f t="shared" ref="C9:K9" si="0">C7+C8</f>
        <v>50805</v>
      </c>
      <c r="D9" s="47">
        <f t="shared" si="0"/>
        <v>65986</v>
      </c>
      <c r="E9" s="47">
        <f t="shared" si="0"/>
        <v>34599</v>
      </c>
      <c r="F9" s="48">
        <f t="shared" si="0"/>
        <v>45776</v>
      </c>
      <c r="G9" s="49">
        <f t="shared" si="0"/>
        <v>45072</v>
      </c>
      <c r="H9" s="49">
        <f t="shared" si="0"/>
        <v>44805</v>
      </c>
      <c r="I9" s="49">
        <f t="shared" si="0"/>
        <v>45552</v>
      </c>
      <c r="J9" s="49">
        <f t="shared" si="0"/>
        <v>47701.5</v>
      </c>
      <c r="K9" s="49">
        <f t="shared" si="0"/>
        <v>50394</v>
      </c>
    </row>
    <row r="10" spans="1:11" ht="15.95" customHeight="1" x14ac:dyDescent="0.25">
      <c r="A10" s="4"/>
      <c r="B10" s="1" t="s">
        <v>130</v>
      </c>
      <c r="C10" s="50">
        <f t="shared" ref="C10:K10" si="1">C9/C7</f>
        <v>0.625</v>
      </c>
      <c r="D10" s="50">
        <f t="shared" si="1"/>
        <v>0.65768962424000799</v>
      </c>
      <c r="E10" s="50">
        <f t="shared" si="1"/>
        <v>0.58097828824744346</v>
      </c>
      <c r="F10" s="51">
        <f t="shared" si="1"/>
        <v>0.71944300375626702</v>
      </c>
      <c r="G10" s="52">
        <f t="shared" si="1"/>
        <v>0.72</v>
      </c>
      <c r="H10" s="52">
        <f t="shared" si="1"/>
        <v>0.72499999999999998</v>
      </c>
      <c r="I10" s="52">
        <f t="shared" si="1"/>
        <v>0.73</v>
      </c>
      <c r="J10" s="52">
        <f t="shared" si="1"/>
        <v>0.73499999999999999</v>
      </c>
      <c r="K10" s="52">
        <f t="shared" si="1"/>
        <v>0.74</v>
      </c>
    </row>
    <row r="11" spans="1:11" ht="15.95" customHeight="1" x14ac:dyDescent="0.25">
      <c r="A11" s="4"/>
      <c r="B11" s="41" t="s">
        <v>131</v>
      </c>
      <c r="C11" s="42"/>
      <c r="D11" s="42"/>
      <c r="E11" s="42"/>
      <c r="F11" s="43"/>
      <c r="G11" s="42"/>
      <c r="H11" s="42"/>
      <c r="I11" s="42"/>
      <c r="J11" s="42"/>
      <c r="K11" s="42"/>
    </row>
    <row r="12" spans="1:11" ht="15.95" customHeight="1" x14ac:dyDescent="0.25">
      <c r="A12" s="4"/>
      <c r="B12" s="1" t="s">
        <v>132</v>
      </c>
      <c r="C12" s="44">
        <v>-12703</v>
      </c>
      <c r="D12" s="44">
        <v>-13554</v>
      </c>
      <c r="E12" s="44">
        <v>-13476</v>
      </c>
      <c r="F12" s="45">
        <v>-14730</v>
      </c>
      <c r="G12" s="46">
        <f>-G7*Assumptions!G13</f>
        <v>-13772</v>
      </c>
      <c r="H12" s="46">
        <f>-H7*Assumptions!H13</f>
        <v>-13287</v>
      </c>
      <c r="I12" s="46">
        <f>-I7*Assumptions!I13</f>
        <v>-13104</v>
      </c>
      <c r="J12" s="46">
        <f>-J7*Assumptions!J13</f>
        <v>-13304.5</v>
      </c>
      <c r="K12" s="46">
        <f>-K7*Assumptions!K13</f>
        <v>-13620</v>
      </c>
    </row>
    <row r="13" spans="1:11" ht="15.95" customHeight="1" x14ac:dyDescent="0.25">
      <c r="A13" s="4"/>
      <c r="B13" s="1" t="s">
        <v>133</v>
      </c>
      <c r="C13" s="44">
        <v>-10361</v>
      </c>
      <c r="D13" s="44">
        <v>-11428</v>
      </c>
      <c r="E13" s="44">
        <v>-11603</v>
      </c>
      <c r="F13" s="45">
        <v>-10822</v>
      </c>
      <c r="G13" s="46">
        <f>-G7*Assumptions!G14</f>
        <v>-10329</v>
      </c>
      <c r="H13" s="46">
        <f>-H7*Assumptions!H14</f>
        <v>-9888</v>
      </c>
      <c r="I13" s="46">
        <f>-I7*Assumptions!I14</f>
        <v>-9672</v>
      </c>
      <c r="J13" s="46">
        <f>-J7*Assumptions!J14</f>
        <v>-9735</v>
      </c>
      <c r="K13" s="46">
        <f>-K7*Assumptions!K14</f>
        <v>-10078.799999999999</v>
      </c>
    </row>
    <row r="14" spans="1:11" ht="15.95" customHeight="1" x14ac:dyDescent="0.25">
      <c r="A14" s="4"/>
      <c r="B14" s="9" t="s">
        <v>134</v>
      </c>
      <c r="C14" s="47">
        <f t="shared" ref="C14:K14" si="2">C9+C12+C13</f>
        <v>27741</v>
      </c>
      <c r="D14" s="47">
        <f t="shared" si="2"/>
        <v>41004</v>
      </c>
      <c r="E14" s="47">
        <f t="shared" si="2"/>
        <v>9520</v>
      </c>
      <c r="F14" s="48">
        <f t="shared" si="2"/>
        <v>20224</v>
      </c>
      <c r="G14" s="49">
        <f t="shared" si="2"/>
        <v>20971</v>
      </c>
      <c r="H14" s="49">
        <f t="shared" si="2"/>
        <v>21630</v>
      </c>
      <c r="I14" s="49">
        <f t="shared" si="2"/>
        <v>22776</v>
      </c>
      <c r="J14" s="49">
        <f t="shared" si="2"/>
        <v>24662</v>
      </c>
      <c r="K14" s="49">
        <f t="shared" si="2"/>
        <v>26695.200000000001</v>
      </c>
    </row>
    <row r="15" spans="1:11" ht="15.95" customHeight="1" x14ac:dyDescent="0.25">
      <c r="A15" s="4"/>
      <c r="B15" s="1" t="s">
        <v>135</v>
      </c>
      <c r="C15" s="50">
        <f t="shared" ref="C15:K15" si="3">C14/C7</f>
        <v>0.34126808385001478</v>
      </c>
      <c r="D15" s="50">
        <f t="shared" si="3"/>
        <v>0.40869131864846009</v>
      </c>
      <c r="E15" s="50">
        <f t="shared" si="3"/>
        <v>0.15985760583010092</v>
      </c>
      <c r="F15" s="51">
        <f t="shared" si="3"/>
        <v>0.31785248400836125</v>
      </c>
      <c r="G15" s="52">
        <f t="shared" si="3"/>
        <v>0.33500000000000002</v>
      </c>
      <c r="H15" s="52">
        <f t="shared" si="3"/>
        <v>0.35</v>
      </c>
      <c r="I15" s="52">
        <f t="shared" si="3"/>
        <v>0.36499999999999999</v>
      </c>
      <c r="J15" s="52">
        <f t="shared" si="3"/>
        <v>0.38</v>
      </c>
      <c r="K15" s="52">
        <f t="shared" si="3"/>
        <v>0.39200000000000002</v>
      </c>
    </row>
    <row r="16" spans="1:11" ht="15.95" customHeight="1" x14ac:dyDescent="0.25">
      <c r="A16" s="4"/>
      <c r="B16" s="41" t="s">
        <v>136</v>
      </c>
      <c r="C16" s="42"/>
      <c r="D16" s="42"/>
      <c r="E16" s="42"/>
      <c r="F16" s="43"/>
      <c r="G16" s="42"/>
      <c r="H16" s="42"/>
      <c r="I16" s="42"/>
      <c r="J16" s="42"/>
      <c r="K16" s="42"/>
    </row>
    <row r="17" spans="1:11" ht="15.95" customHeight="1" x14ac:dyDescent="0.25">
      <c r="A17" s="4"/>
      <c r="B17" s="1" t="s">
        <v>137</v>
      </c>
      <c r="C17" s="44">
        <v>-3700</v>
      </c>
      <c r="D17" s="44">
        <v>-3609</v>
      </c>
      <c r="E17" s="44">
        <v>-4751</v>
      </c>
      <c r="F17" s="45">
        <v>-5286</v>
      </c>
      <c r="G17" s="46">
        <f>-Assumptions!G19</f>
        <v>-5000</v>
      </c>
      <c r="H17" s="46">
        <f>-Assumptions!H19</f>
        <v>-4800</v>
      </c>
      <c r="I17" s="46">
        <f>-Assumptions!I19</f>
        <v>-4600</v>
      </c>
      <c r="J17" s="46">
        <f>-Assumptions!J19</f>
        <v>-4400</v>
      </c>
      <c r="K17" s="46">
        <f>-Assumptions!K19</f>
        <v>-4200</v>
      </c>
    </row>
    <row r="18" spans="1:11" ht="15.95" customHeight="1" x14ac:dyDescent="0.25">
      <c r="A18" s="4"/>
      <c r="B18" s="1" t="s">
        <v>138</v>
      </c>
      <c r="C18" s="44">
        <v>-1491</v>
      </c>
      <c r="D18" s="44">
        <v>-1455</v>
      </c>
      <c r="E18" s="44">
        <v>-1539</v>
      </c>
      <c r="F18" s="45">
        <v>-1727</v>
      </c>
      <c r="G18" s="46">
        <f>-Assumptions!G33</f>
        <v>-1800</v>
      </c>
      <c r="H18" s="46">
        <f>-Assumptions!H33</f>
        <v>-1850</v>
      </c>
      <c r="I18" s="46">
        <f>-Assumptions!I33</f>
        <v>-1900</v>
      </c>
      <c r="J18" s="46">
        <f>-Assumptions!J33</f>
        <v>-1950</v>
      </c>
      <c r="K18" s="46">
        <f>-Assumptions!K33</f>
        <v>-2000</v>
      </c>
    </row>
    <row r="19" spans="1:11" ht="15.95" customHeight="1" x14ac:dyDescent="0.25">
      <c r="A19" s="4"/>
      <c r="B19" s="1" t="s">
        <v>139</v>
      </c>
      <c r="C19" s="44">
        <v>-417</v>
      </c>
      <c r="D19" s="44">
        <v>-486</v>
      </c>
      <c r="E19" s="44">
        <v>-3610</v>
      </c>
      <c r="F19" s="45">
        <v>-2419</v>
      </c>
      <c r="G19" s="46">
        <f>-Assumptions!G20</f>
        <v>-1500</v>
      </c>
      <c r="H19" s="46">
        <f>-Assumptions!H20</f>
        <v>-1000</v>
      </c>
      <c r="I19" s="46">
        <f>-Assumptions!I20</f>
        <v>-750</v>
      </c>
      <c r="J19" s="46">
        <f>-Assumptions!J20</f>
        <v>-500</v>
      </c>
      <c r="K19" s="46">
        <f>-Assumptions!K20</f>
        <v>-300</v>
      </c>
    </row>
    <row r="20" spans="1:11" ht="15.95" customHeight="1" x14ac:dyDescent="0.25">
      <c r="A20" s="4"/>
      <c r="B20" s="1" t="s">
        <v>140</v>
      </c>
      <c r="C20" s="44">
        <v>-1437</v>
      </c>
      <c r="D20" s="44">
        <v>-2059</v>
      </c>
      <c r="E20" s="44">
        <v>3225</v>
      </c>
      <c r="F20" s="45">
        <v>-4388</v>
      </c>
      <c r="G20" s="46">
        <f>-Assumptions!G21</f>
        <v>-2500</v>
      </c>
      <c r="H20" s="46">
        <f>-Assumptions!H21</f>
        <v>-2500</v>
      </c>
      <c r="I20" s="46">
        <f>-Assumptions!I21</f>
        <v>-2500</v>
      </c>
      <c r="J20" s="46">
        <f>-Assumptions!J21</f>
        <v>-2500</v>
      </c>
      <c r="K20" s="46">
        <f>-Assumptions!K21</f>
        <v>-2500</v>
      </c>
    </row>
    <row r="21" spans="1:11" ht="15.95" customHeight="1" x14ac:dyDescent="0.25">
      <c r="A21" s="4"/>
      <c r="B21" s="9" t="s">
        <v>141</v>
      </c>
      <c r="C21" s="47">
        <f t="shared" ref="C21:K21" si="4">C14+C17+C18+C19+C20</f>
        <v>20696</v>
      </c>
      <c r="D21" s="47">
        <f t="shared" si="4"/>
        <v>33395</v>
      </c>
      <c r="E21" s="47">
        <f t="shared" si="4"/>
        <v>2845</v>
      </c>
      <c r="F21" s="48">
        <f t="shared" si="4"/>
        <v>6404</v>
      </c>
      <c r="G21" s="49">
        <f t="shared" si="4"/>
        <v>10171</v>
      </c>
      <c r="H21" s="49">
        <f t="shared" si="4"/>
        <v>11480</v>
      </c>
      <c r="I21" s="49">
        <f t="shared" si="4"/>
        <v>13026</v>
      </c>
      <c r="J21" s="49">
        <f t="shared" si="4"/>
        <v>15312</v>
      </c>
      <c r="K21" s="49">
        <f t="shared" si="4"/>
        <v>17695.2</v>
      </c>
    </row>
    <row r="22" spans="1:11" ht="15.95" customHeight="1" x14ac:dyDescent="0.25">
      <c r="A22" s="4"/>
      <c r="B22" s="1" t="s">
        <v>142</v>
      </c>
      <c r="C22" s="44">
        <v>-1398</v>
      </c>
      <c r="D22" s="44">
        <v>-1399</v>
      </c>
      <c r="E22" s="44">
        <v>-3385</v>
      </c>
      <c r="F22" s="45">
        <v>-3252</v>
      </c>
      <c r="G22" s="46">
        <f>'Debt Schedule'!G14</f>
        <v>-2677.8494999999998</v>
      </c>
      <c r="H22" s="46">
        <f>'Debt Schedule'!H14</f>
        <v>-2534.1495</v>
      </c>
      <c r="I22" s="46">
        <f>'Debt Schedule'!I14</f>
        <v>-2462.2995000000001</v>
      </c>
      <c r="J22" s="46">
        <f>'Debt Schedule'!J14</f>
        <v>-2366.4994999999999</v>
      </c>
      <c r="K22" s="46">
        <f>'Debt Schedule'!K14</f>
        <v>-2270.6994999999997</v>
      </c>
    </row>
    <row r="23" spans="1:11" ht="15.95" customHeight="1" x14ac:dyDescent="0.25">
      <c r="A23" s="4"/>
      <c r="B23" s="53" t="s">
        <v>143</v>
      </c>
      <c r="C23" s="54">
        <f t="shared" ref="C23:K23" si="5">C21+C22</f>
        <v>19298</v>
      </c>
      <c r="D23" s="54">
        <f t="shared" si="5"/>
        <v>31996</v>
      </c>
      <c r="E23" s="54">
        <f t="shared" si="5"/>
        <v>-540</v>
      </c>
      <c r="F23" s="55">
        <f t="shared" si="5"/>
        <v>3152</v>
      </c>
      <c r="G23" s="56">
        <f t="shared" si="5"/>
        <v>7493.1504999999997</v>
      </c>
      <c r="H23" s="56">
        <f t="shared" si="5"/>
        <v>8945.8505000000005</v>
      </c>
      <c r="I23" s="56">
        <f t="shared" si="5"/>
        <v>10563.700499999999</v>
      </c>
      <c r="J23" s="56">
        <f t="shared" si="5"/>
        <v>12945.5005</v>
      </c>
      <c r="K23" s="56">
        <f t="shared" si="5"/>
        <v>15424.500500000002</v>
      </c>
    </row>
    <row r="24" spans="1:11" ht="15.95" customHeight="1" x14ac:dyDescent="0.25">
      <c r="A24" s="4"/>
      <c r="B24" s="1" t="s">
        <v>144</v>
      </c>
      <c r="C24" s="44">
        <f>-C23*0.063</f>
        <v>-1215.7740000000001</v>
      </c>
      <c r="D24" s="44">
        <f>-D23*0.085</f>
        <v>-2719.6600000000003</v>
      </c>
      <c r="E24" s="44">
        <f>-E23*-0.484</f>
        <v>-261.36</v>
      </c>
      <c r="F24" s="45">
        <f>-F23*-0.004</f>
        <v>12.608000000000001</v>
      </c>
      <c r="G24" s="46">
        <f>-G23*Assumptions!G22</f>
        <v>-1123.972575</v>
      </c>
      <c r="H24" s="46">
        <f>-H23*Assumptions!H22</f>
        <v>-1341.877575</v>
      </c>
      <c r="I24" s="46">
        <f>-I23*Assumptions!I22</f>
        <v>-1584.5550749999998</v>
      </c>
      <c r="J24" s="46">
        <f>-J23*Assumptions!J22</f>
        <v>-1941.825075</v>
      </c>
      <c r="K24" s="46">
        <f>-K23*Assumptions!K22</f>
        <v>-2313.6750750000001</v>
      </c>
    </row>
    <row r="25" spans="1:11" ht="15.95" customHeight="1" thickBot="1" x14ac:dyDescent="0.3">
      <c r="A25" s="4"/>
      <c r="B25" s="57" t="s">
        <v>145</v>
      </c>
      <c r="C25" s="58">
        <f t="shared" ref="C25:K25" si="6">C23+C24</f>
        <v>18082.225999999999</v>
      </c>
      <c r="D25" s="58">
        <f t="shared" si="6"/>
        <v>29276.34</v>
      </c>
      <c r="E25" s="58">
        <f t="shared" si="6"/>
        <v>-801.36</v>
      </c>
      <c r="F25" s="59">
        <f t="shared" si="6"/>
        <v>3164.6080000000002</v>
      </c>
      <c r="G25" s="60">
        <f t="shared" si="6"/>
        <v>6369.177925</v>
      </c>
      <c r="H25" s="60">
        <f t="shared" si="6"/>
        <v>7603.972925</v>
      </c>
      <c r="I25" s="60">
        <f t="shared" si="6"/>
        <v>8979.1454249999988</v>
      </c>
      <c r="J25" s="60">
        <f t="shared" si="6"/>
        <v>11003.675424999999</v>
      </c>
      <c r="K25" s="60">
        <f t="shared" si="6"/>
        <v>13110.825425000003</v>
      </c>
    </row>
    <row r="26" spans="1:11" ht="15.95" customHeight="1" thickTop="1" x14ac:dyDescent="0.25">
      <c r="A26" s="4"/>
      <c r="B26" s="41" t="s">
        <v>146</v>
      </c>
      <c r="C26" s="42"/>
      <c r="D26" s="42"/>
      <c r="E26" s="42"/>
      <c r="F26" s="43"/>
      <c r="G26" s="42"/>
      <c r="H26" s="42"/>
      <c r="I26" s="42"/>
      <c r="J26" s="42"/>
      <c r="K26" s="42"/>
    </row>
    <row r="27" spans="1:11" ht="15.95" customHeight="1" x14ac:dyDescent="0.25">
      <c r="A27" s="4"/>
      <c r="B27" s="1" t="s">
        <v>110</v>
      </c>
      <c r="C27" s="44">
        <v>5708</v>
      </c>
      <c r="D27" s="44">
        <v>5733</v>
      </c>
      <c r="E27" s="44">
        <v>5709</v>
      </c>
      <c r="F27" s="45">
        <v>5700</v>
      </c>
      <c r="G27" s="46">
        <f>Assumptions!G37</f>
        <v>5700</v>
      </c>
      <c r="H27" s="46">
        <f>Assumptions!H37</f>
        <v>5700</v>
      </c>
      <c r="I27" s="46">
        <f>Assumptions!I37</f>
        <v>5700</v>
      </c>
      <c r="J27" s="46">
        <f>Assumptions!J37</f>
        <v>5700</v>
      </c>
      <c r="K27" s="46">
        <f>Assumptions!K37</f>
        <v>5700</v>
      </c>
    </row>
    <row r="28" spans="1:11" ht="15.95" customHeight="1" x14ac:dyDescent="0.25">
      <c r="A28" s="4"/>
      <c r="B28" s="53" t="s">
        <v>56</v>
      </c>
      <c r="C28" s="141">
        <v>3.85</v>
      </c>
      <c r="D28" s="141">
        <v>5.47</v>
      </c>
      <c r="E28" s="141">
        <v>0.37</v>
      </c>
      <c r="F28" s="142">
        <v>1.41</v>
      </c>
      <c r="G28" s="143">
        <f>G25/G27</f>
        <v>1.1173996359649123</v>
      </c>
      <c r="H28" s="143">
        <f>H25/H27</f>
        <v>1.3340303377192984</v>
      </c>
      <c r="I28" s="143">
        <f>I25/I27</f>
        <v>1.5752886710526313</v>
      </c>
      <c r="J28" s="143">
        <f>J25/J27</f>
        <v>1.9304693728070175</v>
      </c>
      <c r="K28" s="143">
        <f>K25/K27</f>
        <v>2.3001448114035092</v>
      </c>
    </row>
    <row r="29" spans="1:11" ht="15.95" customHeight="1" x14ac:dyDescent="0.25">
      <c r="A29" s="4"/>
      <c r="B29" s="1" t="s">
        <v>147</v>
      </c>
      <c r="C29" s="144">
        <v>1.56</v>
      </c>
      <c r="D29" s="144">
        <v>1.64</v>
      </c>
      <c r="E29" s="144">
        <v>1.64</v>
      </c>
      <c r="F29" s="145">
        <v>1.68</v>
      </c>
      <c r="G29" s="146">
        <f>Assumptions!G36</f>
        <v>1.68</v>
      </c>
      <c r="H29" s="146">
        <f>Assumptions!H36</f>
        <v>1.72</v>
      </c>
      <c r="I29" s="146">
        <f>Assumptions!I36</f>
        <v>1.76</v>
      </c>
      <c r="J29" s="146">
        <f>Assumptions!J36</f>
        <v>1.8</v>
      </c>
      <c r="K29" s="146">
        <f>Assumptions!K36</f>
        <v>1.84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K31"/>
  <sheetViews>
    <sheetView showGridLines="0" workbookViewId="0">
      <pane xSplit="2" ySplit="5" topLeftCell="C6" activePane="bottomRight" state="frozen"/>
      <selection pane="topRight"/>
      <selection pane="bottomLeft" activeCell="A6" sqref="A6"/>
      <selection pane="bottomRight" activeCell="D11" sqref="D11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11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95" customHeight="1" x14ac:dyDescent="0.25">
      <c r="A2" s="1"/>
      <c r="B2" s="2" t="s">
        <v>148</v>
      </c>
      <c r="C2" s="1"/>
      <c r="D2" s="1"/>
      <c r="E2" s="1"/>
      <c r="F2" s="1"/>
      <c r="G2" s="1"/>
      <c r="H2" s="1"/>
      <c r="I2" s="1"/>
      <c r="J2" s="1"/>
      <c r="K2" s="1"/>
    </row>
    <row r="3" spans="1:11" ht="15.95" customHeight="1" x14ac:dyDescent="0.25">
      <c r="A3" s="1"/>
      <c r="B3" s="3" t="s">
        <v>149</v>
      </c>
      <c r="C3" s="1"/>
      <c r="D3" s="1"/>
      <c r="E3" s="1"/>
      <c r="F3" s="1"/>
      <c r="G3" s="1"/>
      <c r="H3" s="1"/>
      <c r="I3" s="1"/>
      <c r="J3" s="1"/>
      <c r="K3" s="1"/>
    </row>
    <row r="4" spans="1:11" ht="15.95" customHeight="1" x14ac:dyDescent="0.25">
      <c r="A4" s="4"/>
      <c r="B4" s="1"/>
      <c r="C4" s="4"/>
      <c r="D4" s="4"/>
      <c r="E4" s="4"/>
      <c r="F4" s="4"/>
      <c r="G4" s="4"/>
      <c r="H4" s="4"/>
      <c r="I4" s="4"/>
      <c r="J4" s="4"/>
      <c r="K4" s="4"/>
    </row>
    <row r="5" spans="1:11" ht="15.95" customHeight="1" x14ac:dyDescent="0.25">
      <c r="A5" s="4"/>
      <c r="B5" s="39"/>
      <c r="C5" s="16" t="s">
        <v>80</v>
      </c>
      <c r="D5" s="16" t="s">
        <v>81</v>
      </c>
      <c r="E5" s="16" t="s">
        <v>82</v>
      </c>
      <c r="F5" s="40" t="s">
        <v>49</v>
      </c>
      <c r="G5" s="16" t="s">
        <v>50</v>
      </c>
      <c r="H5" s="16" t="s">
        <v>51</v>
      </c>
      <c r="I5" s="16" t="s">
        <v>52</v>
      </c>
      <c r="J5" s="16" t="s">
        <v>83</v>
      </c>
      <c r="K5" s="16" t="s">
        <v>84</v>
      </c>
    </row>
    <row r="6" spans="1:11" ht="15.95" customHeight="1" x14ac:dyDescent="0.25">
      <c r="A6" s="4"/>
      <c r="B6" s="61" t="s">
        <v>150</v>
      </c>
      <c r="C6" s="62"/>
      <c r="D6" s="62"/>
      <c r="E6" s="62"/>
      <c r="F6" s="63"/>
      <c r="G6" s="62"/>
      <c r="H6" s="62"/>
      <c r="I6" s="62"/>
      <c r="J6" s="62"/>
      <c r="K6" s="62"/>
    </row>
    <row r="7" spans="1:11" ht="15.95" customHeight="1" x14ac:dyDescent="0.25">
      <c r="A7" s="4"/>
      <c r="B7" s="64" t="s">
        <v>151</v>
      </c>
      <c r="C7" s="44">
        <v>31069</v>
      </c>
      <c r="D7" s="44">
        <v>22732</v>
      </c>
      <c r="E7" s="44">
        <v>12690</v>
      </c>
      <c r="F7" s="45">
        <v>20477</v>
      </c>
      <c r="G7" s="65">
        <f>'Cash Flow Statement'!G28</f>
        <v>5282.4792948630093</v>
      </c>
      <c r="H7" s="65">
        <f>'Cash Flow Statement'!H28</f>
        <v>4492.9563294520558</v>
      </c>
      <c r="I7" s="65">
        <f>'Cash Flow Statement'!I28</f>
        <v>7867.2332613013714</v>
      </c>
      <c r="J7" s="65">
        <f>'Cash Flow Statement'!J28</f>
        <v>9278.4826589041113</v>
      </c>
      <c r="K7" s="65">
        <f>'Cash Flow Statement'!K28</f>
        <v>16531.420412671239</v>
      </c>
    </row>
    <row r="8" spans="1:11" ht="15.95" customHeight="1" x14ac:dyDescent="0.25">
      <c r="A8" s="4"/>
      <c r="B8" s="64" t="s">
        <v>152</v>
      </c>
      <c r="C8" s="44">
        <v>11479</v>
      </c>
      <c r="D8" s="44">
        <v>10952</v>
      </c>
      <c r="E8" s="44">
        <v>11566</v>
      </c>
      <c r="F8" s="45">
        <v>11463</v>
      </c>
      <c r="G8" s="46">
        <f>'Working Capital'!G18</f>
        <v>11147.945205479453</v>
      </c>
      <c r="H8" s="46">
        <f>'Working Capital'!H18</f>
        <v>11005.479452054795</v>
      </c>
      <c r="I8" s="46">
        <f>'Working Capital'!I18</f>
        <v>11112.328767123288</v>
      </c>
      <c r="J8" s="46">
        <f>'Working Capital'!J18</f>
        <v>11557.534246575342</v>
      </c>
      <c r="K8" s="46">
        <f>'Working Capital'!K18</f>
        <v>12127.397260273972</v>
      </c>
    </row>
    <row r="9" spans="1:11" ht="15.95" customHeight="1" x14ac:dyDescent="0.25">
      <c r="A9" s="4"/>
      <c r="B9" s="64" t="s">
        <v>153</v>
      </c>
      <c r="C9" s="44">
        <v>9059</v>
      </c>
      <c r="D9" s="44">
        <v>8981</v>
      </c>
      <c r="E9" s="44">
        <v>10189</v>
      </c>
      <c r="F9" s="45">
        <v>10851</v>
      </c>
      <c r="G9" s="46">
        <f>'Working Capital'!G19</f>
        <v>8643.9452054794529</v>
      </c>
      <c r="H9" s="46">
        <f>'Working Capital'!H19</f>
        <v>7915.4794520547948</v>
      </c>
      <c r="I9" s="46">
        <f>'Working Capital'!I19</f>
        <v>7385.4246575342468</v>
      </c>
      <c r="J9" s="46">
        <f>'Working Capital'!J19</f>
        <v>7303.4726027397264</v>
      </c>
      <c r="K9" s="46">
        <f>'Working Capital'!K19</f>
        <v>7276.4383561643835</v>
      </c>
    </row>
    <row r="10" spans="1:11" ht="15.95" customHeight="1" x14ac:dyDescent="0.25">
      <c r="A10" s="4"/>
      <c r="B10" s="64" t="s">
        <v>154</v>
      </c>
      <c r="C10" s="44">
        <v>4654</v>
      </c>
      <c r="D10" s="44">
        <v>6099</v>
      </c>
      <c r="E10" s="44">
        <v>6270</v>
      </c>
      <c r="F10" s="45">
        <v>7567</v>
      </c>
      <c r="G10" s="46">
        <f>'Working Capital'!G20</f>
        <v>6260</v>
      </c>
      <c r="H10" s="46">
        <f>'Working Capital'!H20</f>
        <v>5871</v>
      </c>
      <c r="I10" s="46">
        <f>'Working Capital'!I20</f>
        <v>5616</v>
      </c>
      <c r="J10" s="46">
        <f>'Working Capital'!J20</f>
        <v>5711.2</v>
      </c>
      <c r="K10" s="46">
        <f>'Working Capital'!K20</f>
        <v>5788.5</v>
      </c>
    </row>
    <row r="11" spans="1:11" ht="15.95" customHeight="1" x14ac:dyDescent="0.25">
      <c r="A11" s="4"/>
      <c r="B11" s="66" t="s">
        <v>155</v>
      </c>
      <c r="C11" s="67">
        <f t="shared" ref="C11:K11" si="0">SUM(C7:C10)</f>
        <v>56261</v>
      </c>
      <c r="D11" s="67">
        <f t="shared" si="0"/>
        <v>48764</v>
      </c>
      <c r="E11" s="67">
        <f t="shared" si="0"/>
        <v>40715</v>
      </c>
      <c r="F11" s="68">
        <f t="shared" si="0"/>
        <v>50358</v>
      </c>
      <c r="G11" s="69">
        <f t="shared" si="0"/>
        <v>31334.369705821915</v>
      </c>
      <c r="H11" s="69">
        <f t="shared" si="0"/>
        <v>29284.915233561645</v>
      </c>
      <c r="I11" s="69">
        <f t="shared" si="0"/>
        <v>31980.986685958909</v>
      </c>
      <c r="J11" s="69">
        <f t="shared" si="0"/>
        <v>33850.689508219177</v>
      </c>
      <c r="K11" s="69">
        <f t="shared" si="0"/>
        <v>41723.756029109594</v>
      </c>
    </row>
    <row r="12" spans="1:11" ht="15.95" customHeight="1" x14ac:dyDescent="0.25">
      <c r="A12" s="4"/>
      <c r="B12" s="61" t="s">
        <v>156</v>
      </c>
      <c r="C12" s="62"/>
      <c r="D12" s="62"/>
      <c r="E12" s="62"/>
      <c r="F12" s="63"/>
      <c r="G12" s="62"/>
      <c r="H12" s="62"/>
      <c r="I12" s="62"/>
      <c r="J12" s="62"/>
      <c r="K12" s="62"/>
    </row>
    <row r="13" spans="1:11" ht="15.95" customHeight="1" x14ac:dyDescent="0.25">
      <c r="A13" s="4"/>
      <c r="B13" s="64" t="s">
        <v>157</v>
      </c>
      <c r="C13" s="44">
        <v>13508</v>
      </c>
      <c r="D13" s="44">
        <v>14177</v>
      </c>
      <c r="E13" s="44">
        <v>17693</v>
      </c>
      <c r="F13" s="45">
        <v>18393</v>
      </c>
      <c r="G13" s="46">
        <f>F13+'Income Statement'!G7*Assumptions!G32-Assumptions!G33</f>
        <v>19410</v>
      </c>
      <c r="H13" s="46">
        <f>G13+'Income Statement'!H7*Assumptions!H32-Assumptions!H33</f>
        <v>20217.400000000001</v>
      </c>
      <c r="I13" s="46">
        <f>H13+'Income Statement'!I7*Assumptions!I32-Assumptions!I33</f>
        <v>20938.2</v>
      </c>
      <c r="J13" s="46">
        <f>I13+'Income Statement'!J7*Assumptions!J32-Assumptions!J33</f>
        <v>21584.2</v>
      </c>
      <c r="K13" s="46">
        <f>J13+'Income Statement'!K7*Assumptions!K32-Assumptions!K33</f>
        <v>22172</v>
      </c>
    </row>
    <row r="14" spans="1:11" ht="15.95" customHeight="1" x14ac:dyDescent="0.25">
      <c r="A14" s="4"/>
      <c r="B14" s="64" t="s">
        <v>158</v>
      </c>
      <c r="C14" s="44">
        <v>49199</v>
      </c>
      <c r="D14" s="44">
        <v>49180</v>
      </c>
      <c r="E14" s="44">
        <v>67782</v>
      </c>
      <c r="F14" s="45">
        <v>68527</v>
      </c>
      <c r="G14" s="65">
        <f>F14</f>
        <v>68527</v>
      </c>
      <c r="H14" s="65">
        <f>G14</f>
        <v>68527</v>
      </c>
      <c r="I14" s="65">
        <f>H14</f>
        <v>68527</v>
      </c>
      <c r="J14" s="65">
        <f>I14</f>
        <v>68527</v>
      </c>
      <c r="K14" s="65">
        <f>J14</f>
        <v>68527</v>
      </c>
    </row>
    <row r="15" spans="1:11" ht="15.95" customHeight="1" x14ac:dyDescent="0.25">
      <c r="A15" s="4"/>
      <c r="B15" s="64" t="s">
        <v>159</v>
      </c>
      <c r="C15" s="44">
        <v>23710</v>
      </c>
      <c r="D15" s="44">
        <v>30455</v>
      </c>
      <c r="E15" s="44">
        <v>63979</v>
      </c>
      <c r="F15" s="45">
        <v>55411</v>
      </c>
      <c r="G15" s="46">
        <f>F15-Assumptions!G19</f>
        <v>50411</v>
      </c>
      <c r="H15" s="46">
        <f>G15-Assumptions!H19</f>
        <v>45611</v>
      </c>
      <c r="I15" s="46">
        <f>H15-Assumptions!I19</f>
        <v>41011</v>
      </c>
      <c r="J15" s="46">
        <f>I15-Assumptions!J19</f>
        <v>36611</v>
      </c>
      <c r="K15" s="46">
        <f>J15-Assumptions!K19</f>
        <v>32411</v>
      </c>
    </row>
    <row r="16" spans="1:11" ht="15.95" customHeight="1" x14ac:dyDescent="0.25">
      <c r="A16" s="4"/>
      <c r="B16" s="64" t="s">
        <v>160</v>
      </c>
      <c r="C16" s="44">
        <f>181475-C11-C13-C14-C15</f>
        <v>38797</v>
      </c>
      <c r="D16" s="44">
        <f>197204-D11-D13-D14-D15</f>
        <v>54628</v>
      </c>
      <c r="E16" s="44">
        <f>226501-E11-E13-E14-E15</f>
        <v>36332</v>
      </c>
      <c r="F16" s="45">
        <f>213396-F11-F13-F14-F15</f>
        <v>20707</v>
      </c>
      <c r="G16" s="65">
        <f>G17-G11-G13-G14-G15</f>
        <v>27484</v>
      </c>
      <c r="H16" s="65">
        <f>H17-H11-H13-H14-H15</f>
        <v>26583.999999999971</v>
      </c>
      <c r="I16" s="65">
        <f>I17-I11-I13-I14-I15</f>
        <v>25683.999999999942</v>
      </c>
      <c r="J16" s="65">
        <f>J17-J11-J13-J14-J15</f>
        <v>24783.999999999956</v>
      </c>
      <c r="K16" s="65">
        <f>K17-K11-K13-K14-K15</f>
        <v>23884</v>
      </c>
    </row>
    <row r="17" spans="1:11" ht="15.95" customHeight="1" x14ac:dyDescent="0.25">
      <c r="A17" s="4"/>
      <c r="B17" s="70" t="s">
        <v>161</v>
      </c>
      <c r="C17" s="71">
        <f>C11+C13+C14+C15+C16</f>
        <v>181475</v>
      </c>
      <c r="D17" s="71">
        <f>D11+D13+D14+D15+D16</f>
        <v>197204</v>
      </c>
      <c r="E17" s="71">
        <f>E11+E13+E14+E15+E16</f>
        <v>226501</v>
      </c>
      <c r="F17" s="72">
        <f>F11+F13+F14+F15+F16</f>
        <v>213396</v>
      </c>
      <c r="G17" s="73">
        <f>G28</f>
        <v>197166.36970582191</v>
      </c>
      <c r="H17" s="73">
        <f>H28</f>
        <v>190224.31523356162</v>
      </c>
      <c r="I17" s="73">
        <f>I28</f>
        <v>188141.18668595888</v>
      </c>
      <c r="J17" s="73">
        <f>J28</f>
        <v>185356.88950821914</v>
      </c>
      <c r="K17" s="73">
        <f>K28</f>
        <v>188717.75602910959</v>
      </c>
    </row>
    <row r="18" spans="1:11" ht="15.95" customHeight="1" x14ac:dyDescent="0.25">
      <c r="A18" s="4"/>
      <c r="B18" s="61" t="s">
        <v>162</v>
      </c>
      <c r="C18" s="62"/>
      <c r="D18" s="62"/>
      <c r="E18" s="62"/>
      <c r="F18" s="63"/>
      <c r="G18" s="62"/>
      <c r="H18" s="62"/>
      <c r="I18" s="62"/>
      <c r="J18" s="62"/>
      <c r="K18" s="62"/>
    </row>
    <row r="19" spans="1:11" ht="15.95" customHeight="1" x14ac:dyDescent="0.25">
      <c r="A19" s="4"/>
      <c r="B19" s="64" t="s">
        <v>163</v>
      </c>
      <c r="C19" s="44">
        <v>2241</v>
      </c>
      <c r="D19" s="44">
        <v>2945</v>
      </c>
      <c r="E19" s="44">
        <v>10350</v>
      </c>
      <c r="F19" s="45">
        <v>6946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</row>
    <row r="20" spans="1:11" ht="15.95" customHeight="1" x14ac:dyDescent="0.25">
      <c r="A20" s="4"/>
      <c r="B20" s="64" t="s">
        <v>164</v>
      </c>
      <c r="C20" s="44">
        <v>6844</v>
      </c>
      <c r="D20" s="44">
        <v>5578</v>
      </c>
      <c r="E20" s="44">
        <v>5578</v>
      </c>
      <c r="F20" s="45">
        <v>5633</v>
      </c>
      <c r="G20" s="46">
        <f>'Working Capital'!G23</f>
        <v>4802.1917808219177</v>
      </c>
      <c r="H20" s="46">
        <f>'Working Capital'!H23</f>
        <v>4656.1643835616442</v>
      </c>
      <c r="I20" s="46">
        <f>'Working Capital'!I23</f>
        <v>4615.8904109589039</v>
      </c>
      <c r="J20" s="46">
        <f>'Working Capital'!J23</f>
        <v>4711.9178082191784</v>
      </c>
      <c r="K20" s="46">
        <f>'Working Capital'!K23</f>
        <v>4850.9589041095887</v>
      </c>
    </row>
    <row r="21" spans="1:11" ht="15.95" customHeight="1" x14ac:dyDescent="0.25">
      <c r="A21" s="4"/>
      <c r="B21" s="64" t="s">
        <v>165</v>
      </c>
      <c r="C21" s="44">
        <v>19703</v>
      </c>
      <c r="D21" s="44">
        <v>20413</v>
      </c>
      <c r="E21" s="44">
        <v>28289</v>
      </c>
      <c r="F21" s="45">
        <v>30416</v>
      </c>
      <c r="G21" s="46">
        <f>'Working Capital'!G24</f>
        <v>28170</v>
      </c>
      <c r="H21" s="46">
        <f>'Working Capital'!H24</f>
        <v>26574</v>
      </c>
      <c r="I21" s="46">
        <f>'Working Capital'!I24</f>
        <v>25584</v>
      </c>
      <c r="J21" s="46">
        <f>'Working Capital'!J24</f>
        <v>25960</v>
      </c>
      <c r="K21" s="46">
        <f>'Working Capital'!K24</f>
        <v>26559</v>
      </c>
    </row>
    <row r="22" spans="1:11" ht="15.95" customHeight="1" x14ac:dyDescent="0.25">
      <c r="A22" s="4"/>
      <c r="B22" s="74" t="s">
        <v>166</v>
      </c>
      <c r="C22" s="54">
        <f t="shared" ref="C22:K22" si="1">C19+C20+C21</f>
        <v>28788</v>
      </c>
      <c r="D22" s="54">
        <f t="shared" si="1"/>
        <v>28936</v>
      </c>
      <c r="E22" s="54">
        <f t="shared" si="1"/>
        <v>44217</v>
      </c>
      <c r="F22" s="55">
        <f t="shared" si="1"/>
        <v>42995</v>
      </c>
      <c r="G22" s="56">
        <f t="shared" si="1"/>
        <v>32972.191780821915</v>
      </c>
      <c r="H22" s="56">
        <f t="shared" si="1"/>
        <v>31230.164383561645</v>
      </c>
      <c r="I22" s="56">
        <f t="shared" si="1"/>
        <v>30199.890410958906</v>
      </c>
      <c r="J22" s="56">
        <f t="shared" si="1"/>
        <v>30671.917808219179</v>
      </c>
      <c r="K22" s="56">
        <f t="shared" si="1"/>
        <v>31409.95890410959</v>
      </c>
    </row>
    <row r="23" spans="1:11" ht="15.95" customHeight="1" x14ac:dyDescent="0.25">
      <c r="A23" s="4"/>
      <c r="B23" s="64" t="s">
        <v>167</v>
      </c>
      <c r="C23" s="44">
        <v>36195</v>
      </c>
      <c r="D23" s="44">
        <v>32884</v>
      </c>
      <c r="E23" s="44">
        <v>61538</v>
      </c>
      <c r="F23" s="45">
        <v>57405</v>
      </c>
      <c r="G23" s="46">
        <f>'Debt Schedule'!G10</f>
        <v>54405</v>
      </c>
      <c r="H23" s="46">
        <f>'Debt Schedule'!H10</f>
        <v>51405</v>
      </c>
      <c r="I23" s="46">
        <f>'Debt Schedule'!I10</f>
        <v>51405</v>
      </c>
      <c r="J23" s="46">
        <f>'Debt Schedule'!J10</f>
        <v>47405</v>
      </c>
      <c r="K23" s="46">
        <f>'Debt Schedule'!K10</f>
        <v>47405</v>
      </c>
    </row>
    <row r="24" spans="1:11" ht="15.95" customHeight="1" x14ac:dyDescent="0.25">
      <c r="A24" s="4"/>
      <c r="B24" s="64" t="s">
        <v>168</v>
      </c>
      <c r="C24" s="44">
        <v>39030</v>
      </c>
      <c r="D24" s="44">
        <v>39468</v>
      </c>
      <c r="E24" s="44">
        <v>31458</v>
      </c>
      <c r="F24" s="45">
        <v>24499</v>
      </c>
      <c r="G24" s="65">
        <f>F24</f>
        <v>24499</v>
      </c>
      <c r="H24" s="65">
        <f>G24</f>
        <v>24499</v>
      </c>
      <c r="I24" s="65">
        <f>H24</f>
        <v>24499</v>
      </c>
      <c r="J24" s="65">
        <f>I24</f>
        <v>24499</v>
      </c>
      <c r="K24" s="65">
        <f>J24</f>
        <v>24499</v>
      </c>
    </row>
    <row r="25" spans="1:11" ht="15.95" customHeight="1" x14ac:dyDescent="0.25">
      <c r="A25" s="4"/>
      <c r="B25" s="66" t="s">
        <v>169</v>
      </c>
      <c r="C25" s="67">
        <f t="shared" ref="C25:K25" si="2">C22+C23+C24</f>
        <v>104013</v>
      </c>
      <c r="D25" s="67">
        <f t="shared" si="2"/>
        <v>101288</v>
      </c>
      <c r="E25" s="67">
        <f t="shared" si="2"/>
        <v>137213</v>
      </c>
      <c r="F25" s="68">
        <f t="shared" si="2"/>
        <v>124899</v>
      </c>
      <c r="G25" s="69">
        <f t="shared" si="2"/>
        <v>111876.19178082192</v>
      </c>
      <c r="H25" s="69">
        <f t="shared" si="2"/>
        <v>107134.16438356164</v>
      </c>
      <c r="I25" s="69">
        <f t="shared" si="2"/>
        <v>106103.89041095891</v>
      </c>
      <c r="J25" s="69">
        <f t="shared" si="2"/>
        <v>102575.91780821918</v>
      </c>
      <c r="K25" s="69">
        <f t="shared" si="2"/>
        <v>103313.95890410959</v>
      </c>
    </row>
    <row r="26" spans="1:11" ht="15.95" customHeight="1" x14ac:dyDescent="0.25">
      <c r="A26" s="4"/>
      <c r="B26" s="61" t="s">
        <v>170</v>
      </c>
      <c r="C26" s="62"/>
      <c r="D26" s="62"/>
      <c r="E26" s="62"/>
      <c r="F26" s="63"/>
      <c r="G26" s="62"/>
      <c r="H26" s="62"/>
      <c r="I26" s="62"/>
      <c r="J26" s="62"/>
      <c r="K26" s="62"/>
    </row>
    <row r="27" spans="1:11" ht="15.95" customHeight="1" x14ac:dyDescent="0.25">
      <c r="A27" s="4"/>
      <c r="B27" s="74" t="s">
        <v>171</v>
      </c>
      <c r="C27" s="54">
        <v>77462</v>
      </c>
      <c r="D27" s="54">
        <v>95916</v>
      </c>
      <c r="E27" s="54">
        <v>89288</v>
      </c>
      <c r="F27" s="55">
        <v>88497</v>
      </c>
      <c r="G27" s="75">
        <f>F27+'Income Statement'!G25-Assumptions!G36*Assumptions!G37-Assumptions!G38</f>
        <v>85290.177924999996</v>
      </c>
      <c r="H27" s="75">
        <f>G27+'Income Statement'!H25-Assumptions!H36*Assumptions!H37-Assumptions!H38</f>
        <v>83090.150849999991</v>
      </c>
      <c r="I27" s="75">
        <f>H27+'Income Statement'!I25-Assumptions!I36*Assumptions!I37-Assumptions!I38</f>
        <v>82037.296274999986</v>
      </c>
      <c r="J27" s="75">
        <f>I27+'Income Statement'!J25-Assumptions!J36*Assumptions!J37-Assumptions!J38</f>
        <v>82780.97169999998</v>
      </c>
      <c r="K27" s="75">
        <f>J27+'Income Statement'!K25-Assumptions!K36*Assumptions!K37-Assumptions!K38</f>
        <v>85403.797124999983</v>
      </c>
    </row>
    <row r="28" spans="1:11" ht="15.95" customHeight="1" x14ac:dyDescent="0.25">
      <c r="A28" s="4"/>
      <c r="B28" s="66" t="s">
        <v>172</v>
      </c>
      <c r="C28" s="67">
        <f t="shared" ref="C28:K28" si="3">C25+C27</f>
        <v>181475</v>
      </c>
      <c r="D28" s="67">
        <f t="shared" si="3"/>
        <v>197204</v>
      </c>
      <c r="E28" s="67">
        <f t="shared" si="3"/>
        <v>226501</v>
      </c>
      <c r="F28" s="68">
        <f t="shared" si="3"/>
        <v>213396</v>
      </c>
      <c r="G28" s="69">
        <f t="shared" si="3"/>
        <v>197166.36970582191</v>
      </c>
      <c r="H28" s="69">
        <f t="shared" si="3"/>
        <v>190224.31523356162</v>
      </c>
      <c r="I28" s="69">
        <f t="shared" si="3"/>
        <v>188141.18668595888</v>
      </c>
      <c r="J28" s="69">
        <f t="shared" si="3"/>
        <v>185356.88950821914</v>
      </c>
      <c r="K28" s="69">
        <f t="shared" si="3"/>
        <v>188717.75602910959</v>
      </c>
    </row>
    <row r="29" spans="1:11" ht="15.95" customHeight="1" x14ac:dyDescent="0.25">
      <c r="A29" s="4"/>
      <c r="B29" s="64"/>
      <c r="C29" s="44"/>
      <c r="D29" s="44"/>
      <c r="E29" s="44"/>
      <c r="F29" s="45"/>
      <c r="G29" s="65"/>
      <c r="H29" s="65"/>
      <c r="I29" s="65"/>
      <c r="J29" s="65"/>
      <c r="K29" s="65"/>
    </row>
    <row r="30" spans="1:11" ht="15.95" customHeight="1" thickBot="1" x14ac:dyDescent="0.3">
      <c r="A30" s="4"/>
      <c r="B30" s="76" t="s">
        <v>173</v>
      </c>
      <c r="C30" s="77">
        <f t="shared" ref="C30:K30" si="4">C17-C28</f>
        <v>0</v>
      </c>
      <c r="D30" s="77">
        <f t="shared" si="4"/>
        <v>0</v>
      </c>
      <c r="E30" s="77">
        <f t="shared" si="4"/>
        <v>0</v>
      </c>
      <c r="F30" s="78">
        <f t="shared" si="4"/>
        <v>0</v>
      </c>
      <c r="G30" s="77">
        <f t="shared" si="4"/>
        <v>0</v>
      </c>
      <c r="H30" s="77">
        <f t="shared" si="4"/>
        <v>0</v>
      </c>
      <c r="I30" s="77">
        <f t="shared" si="4"/>
        <v>0</v>
      </c>
      <c r="J30" s="77">
        <f t="shared" si="4"/>
        <v>0</v>
      </c>
      <c r="K30" s="77">
        <f t="shared" si="4"/>
        <v>0</v>
      </c>
    </row>
    <row r="31" spans="1:11" ht="15.75" customHeight="1" thickTop="1" x14ac:dyDescent="0.25"/>
  </sheetData>
  <conditionalFormatting sqref="C30:K30">
    <cfRule type="cellIs" dxfId="1" priority="1" operator="equal">
      <formula>0</formula>
    </cfRule>
    <cfRule type="cellIs" dxfId="0" priority="2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K29"/>
  <sheetViews>
    <sheetView showGridLines="0" workbookViewId="0">
      <pane xSplit="2" ySplit="5" topLeftCell="C6" activePane="bottomRight" state="frozen"/>
      <selection pane="topRight"/>
      <selection pane="bottomLeft" activeCell="A6" sqref="A6"/>
      <selection pane="bottomRight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11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95" customHeight="1" x14ac:dyDescent="0.25">
      <c r="A2" s="1"/>
      <c r="B2" s="2" t="s">
        <v>174</v>
      </c>
      <c r="C2" s="1"/>
      <c r="D2" s="1"/>
      <c r="E2" s="1"/>
      <c r="F2" s="1"/>
      <c r="G2" s="1"/>
      <c r="H2" s="1"/>
      <c r="I2" s="1"/>
      <c r="J2" s="1"/>
      <c r="K2" s="1"/>
    </row>
    <row r="3" spans="1:11" ht="15.95" customHeight="1" x14ac:dyDescent="0.25">
      <c r="A3" s="1"/>
      <c r="B3" s="3" t="s">
        <v>149</v>
      </c>
      <c r="C3" s="1"/>
      <c r="D3" s="1"/>
      <c r="E3" s="1"/>
      <c r="F3" s="1"/>
      <c r="G3" s="1"/>
      <c r="H3" s="1"/>
      <c r="I3" s="1"/>
      <c r="J3" s="1"/>
      <c r="K3" s="1"/>
    </row>
    <row r="4" spans="1:11" ht="15.95" customHeight="1" x14ac:dyDescent="0.25">
      <c r="A4" s="4"/>
      <c r="B4" s="1"/>
      <c r="C4" s="4"/>
      <c r="D4" s="4"/>
      <c r="E4" s="4"/>
      <c r="F4" s="4"/>
      <c r="G4" s="4"/>
      <c r="H4" s="4"/>
      <c r="I4" s="4"/>
      <c r="J4" s="4"/>
      <c r="K4" s="4"/>
    </row>
    <row r="5" spans="1:11" ht="15.95" customHeight="1" x14ac:dyDescent="0.25">
      <c r="A5" s="4"/>
      <c r="B5" s="39"/>
      <c r="C5" s="16" t="s">
        <v>80</v>
      </c>
      <c r="D5" s="16" t="s">
        <v>81</v>
      </c>
      <c r="E5" s="16" t="s">
        <v>82</v>
      </c>
      <c r="F5" s="40" t="s">
        <v>49</v>
      </c>
      <c r="G5" s="16" t="s">
        <v>50</v>
      </c>
      <c r="H5" s="16" t="s">
        <v>51</v>
      </c>
      <c r="I5" s="16" t="s">
        <v>52</v>
      </c>
      <c r="J5" s="16" t="s">
        <v>83</v>
      </c>
      <c r="K5" s="16" t="s">
        <v>84</v>
      </c>
    </row>
    <row r="6" spans="1:11" ht="15.95" customHeight="1" x14ac:dyDescent="0.25">
      <c r="A6" s="4"/>
      <c r="B6" s="64"/>
      <c r="C6" s="44"/>
      <c r="D6" s="44"/>
      <c r="E6" s="44"/>
      <c r="F6" s="45"/>
      <c r="G6" s="65"/>
      <c r="H6" s="65"/>
      <c r="I6" s="65"/>
      <c r="J6" s="65"/>
      <c r="K6" s="65"/>
    </row>
    <row r="7" spans="1:11" ht="15.95" customHeight="1" x14ac:dyDescent="0.25">
      <c r="A7" s="4"/>
      <c r="B7" s="79" t="s">
        <v>175</v>
      </c>
      <c r="C7" s="80"/>
      <c r="D7" s="80"/>
      <c r="E7" s="80"/>
      <c r="F7" s="81"/>
      <c r="G7" s="80"/>
      <c r="H7" s="80"/>
      <c r="I7" s="80"/>
      <c r="J7" s="80"/>
      <c r="K7" s="80"/>
    </row>
    <row r="8" spans="1:11" ht="15.95" customHeight="1" x14ac:dyDescent="0.25">
      <c r="A8" s="4"/>
      <c r="B8" s="64" t="s">
        <v>145</v>
      </c>
      <c r="C8" s="44">
        <v>21979</v>
      </c>
      <c r="D8" s="44">
        <v>31372</v>
      </c>
      <c r="E8" s="44">
        <v>2119</v>
      </c>
      <c r="F8" s="45">
        <v>8062</v>
      </c>
      <c r="G8" s="46">
        <f>'Income Statement'!G25</f>
        <v>6369.177925</v>
      </c>
      <c r="H8" s="46">
        <f>'Income Statement'!H25</f>
        <v>7603.972925</v>
      </c>
      <c r="I8" s="46">
        <f>'Income Statement'!I25</f>
        <v>8979.1454249999988</v>
      </c>
      <c r="J8" s="46">
        <f>'Income Statement'!J25</f>
        <v>11003.675424999999</v>
      </c>
      <c r="K8" s="46">
        <f>'Income Statement'!K25</f>
        <v>13110.825425000003</v>
      </c>
    </row>
    <row r="9" spans="1:11" ht="15.95" customHeight="1" x14ac:dyDescent="0.25">
      <c r="A9" s="4"/>
      <c r="B9" s="64" t="s">
        <v>176</v>
      </c>
      <c r="C9" s="44">
        <v>1491</v>
      </c>
      <c r="D9" s="44">
        <v>1455</v>
      </c>
      <c r="E9" s="44">
        <v>1539</v>
      </c>
      <c r="F9" s="45">
        <v>1727</v>
      </c>
      <c r="G9" s="46">
        <f>Assumptions!G33</f>
        <v>1800</v>
      </c>
      <c r="H9" s="46">
        <f>Assumptions!H33</f>
        <v>1850</v>
      </c>
      <c r="I9" s="46">
        <f>Assumptions!I33</f>
        <v>1900</v>
      </c>
      <c r="J9" s="46">
        <f>Assumptions!J33</f>
        <v>1950</v>
      </c>
      <c r="K9" s="46">
        <f>Assumptions!K33</f>
        <v>2000</v>
      </c>
    </row>
    <row r="10" spans="1:11" ht="15.95" customHeight="1" x14ac:dyDescent="0.25">
      <c r="A10" s="4"/>
      <c r="B10" s="64" t="s">
        <v>95</v>
      </c>
      <c r="C10" s="44">
        <v>3700</v>
      </c>
      <c r="D10" s="44">
        <v>3609</v>
      </c>
      <c r="E10" s="44">
        <v>4751</v>
      </c>
      <c r="F10" s="45">
        <v>5286</v>
      </c>
      <c r="G10" s="46">
        <f>Assumptions!G19</f>
        <v>5000</v>
      </c>
      <c r="H10" s="46">
        <f>Assumptions!H19</f>
        <v>4800</v>
      </c>
      <c r="I10" s="46">
        <f>Assumptions!I19</f>
        <v>4600</v>
      </c>
      <c r="J10" s="46">
        <f>Assumptions!J19</f>
        <v>4400</v>
      </c>
      <c r="K10" s="46">
        <f>Assumptions!K19</f>
        <v>4200</v>
      </c>
    </row>
    <row r="11" spans="1:11" ht="15.95" customHeight="1" x14ac:dyDescent="0.25">
      <c r="A11" s="4"/>
      <c r="B11" s="64" t="s">
        <v>177</v>
      </c>
      <c r="C11" s="44">
        <v>616</v>
      </c>
      <c r="D11" s="44">
        <v>536</v>
      </c>
      <c r="E11" s="44">
        <v>714</v>
      </c>
      <c r="F11" s="45">
        <v>877</v>
      </c>
      <c r="G11" s="82">
        <v>900</v>
      </c>
      <c r="H11" s="82">
        <v>900</v>
      </c>
      <c r="I11" s="82">
        <v>900</v>
      </c>
      <c r="J11" s="82">
        <v>900</v>
      </c>
      <c r="K11" s="82">
        <v>900</v>
      </c>
    </row>
    <row r="12" spans="1:11" ht="15.95" customHeight="1" x14ac:dyDescent="0.25">
      <c r="A12" s="4"/>
      <c r="B12" s="64" t="s">
        <v>178</v>
      </c>
      <c r="C12" s="44">
        <v>-1934</v>
      </c>
      <c r="D12" s="44">
        <v>-2454</v>
      </c>
      <c r="E12" s="44">
        <v>-1047</v>
      </c>
      <c r="F12" s="45">
        <v>-3066</v>
      </c>
      <c r="G12" s="46">
        <f>-'Working Capital'!G28</f>
        <v>752.30136986300931</v>
      </c>
      <c r="H12" s="46">
        <f>-'Working Capital'!H28</f>
        <v>-482.09589041095387</v>
      </c>
      <c r="I12" s="46">
        <f>-'Working Capital'!I28</f>
        <v>-352.06849315068393</v>
      </c>
      <c r="J12" s="46">
        <f>-'Working Capital'!J28</f>
        <v>13.57397260273865</v>
      </c>
      <c r="K12" s="46">
        <f>-'Working Capital'!K28</f>
        <v>117.91232876712456</v>
      </c>
    </row>
    <row r="13" spans="1:11" ht="15.95" customHeight="1" x14ac:dyDescent="0.25">
      <c r="A13" s="4"/>
      <c r="B13" s="64" t="s">
        <v>179</v>
      </c>
      <c r="C13" s="44">
        <v>6728</v>
      </c>
      <c r="D13" s="44">
        <v>-5231</v>
      </c>
      <c r="E13" s="44">
        <v>624</v>
      </c>
      <c r="F13" s="45">
        <v>-142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</row>
    <row r="14" spans="1:11" ht="15.95" customHeight="1" x14ac:dyDescent="0.25">
      <c r="A14" s="4"/>
      <c r="B14" s="66" t="s">
        <v>180</v>
      </c>
      <c r="C14" s="67">
        <f t="shared" ref="C14:K14" si="0">SUM(C8:C13)</f>
        <v>32580</v>
      </c>
      <c r="D14" s="67">
        <f t="shared" si="0"/>
        <v>29287</v>
      </c>
      <c r="E14" s="67">
        <f t="shared" si="0"/>
        <v>8700</v>
      </c>
      <c r="F14" s="68">
        <f t="shared" si="0"/>
        <v>12744</v>
      </c>
      <c r="G14" s="69">
        <f t="shared" si="0"/>
        <v>14821.479294863009</v>
      </c>
      <c r="H14" s="69">
        <f t="shared" si="0"/>
        <v>14671.877034589046</v>
      </c>
      <c r="I14" s="69">
        <f t="shared" si="0"/>
        <v>16027.076931849315</v>
      </c>
      <c r="J14" s="69">
        <f t="shared" si="0"/>
        <v>18267.24939760274</v>
      </c>
      <c r="K14" s="69">
        <f t="shared" si="0"/>
        <v>20328.737753767127</v>
      </c>
    </row>
    <row r="15" spans="1:11" ht="15.95" customHeight="1" x14ac:dyDescent="0.25">
      <c r="A15" s="4"/>
      <c r="B15" s="64" t="s">
        <v>181</v>
      </c>
      <c r="C15" s="44"/>
      <c r="D15" s="44"/>
      <c r="E15" s="44"/>
      <c r="F15" s="45"/>
      <c r="G15" s="65"/>
      <c r="H15" s="65"/>
      <c r="I15" s="65"/>
      <c r="J15" s="65"/>
      <c r="K15" s="65"/>
    </row>
    <row r="16" spans="1:11" ht="15.95" customHeight="1" x14ac:dyDescent="0.25">
      <c r="A16" s="4"/>
      <c r="B16" s="79" t="s">
        <v>182</v>
      </c>
      <c r="C16" s="80"/>
      <c r="D16" s="80"/>
      <c r="E16" s="80"/>
      <c r="F16" s="81"/>
      <c r="G16" s="80"/>
      <c r="H16" s="80"/>
      <c r="I16" s="80"/>
      <c r="J16" s="80"/>
      <c r="K16" s="80"/>
    </row>
    <row r="17" spans="1:11" ht="15.95" customHeight="1" x14ac:dyDescent="0.25">
      <c r="A17" s="4"/>
      <c r="B17" s="64" t="s">
        <v>183</v>
      </c>
      <c r="C17" s="44">
        <v>-2711</v>
      </c>
      <c r="D17" s="44">
        <v>-3236</v>
      </c>
      <c r="E17" s="44">
        <v>-3907</v>
      </c>
      <c r="F17" s="45">
        <v>-2909</v>
      </c>
      <c r="G17" s="46">
        <f>-'Income Statement'!G7*Assumptions!G32</f>
        <v>-2817</v>
      </c>
      <c r="H17" s="46">
        <f>-'Income Statement'!H7*Assumptions!H32</f>
        <v>-2657.3999999999996</v>
      </c>
      <c r="I17" s="46">
        <f>-'Income Statement'!I7*Assumptions!I32</f>
        <v>-2620.8000000000002</v>
      </c>
      <c r="J17" s="46">
        <f>-'Income Statement'!J7*Assumptions!J32</f>
        <v>-2596</v>
      </c>
      <c r="K17" s="46">
        <f>-'Income Statement'!K7*Assumptions!K32</f>
        <v>-2587.7999999999997</v>
      </c>
    </row>
    <row r="18" spans="1:11" ht="15.95" customHeight="1" x14ac:dyDescent="0.25">
      <c r="A18" s="4"/>
      <c r="B18" s="74" t="s">
        <v>184</v>
      </c>
      <c r="C18" s="54">
        <f t="shared" ref="C18:K18" si="1">C17</f>
        <v>-2711</v>
      </c>
      <c r="D18" s="54">
        <f t="shared" si="1"/>
        <v>-3236</v>
      </c>
      <c r="E18" s="54">
        <f t="shared" si="1"/>
        <v>-3907</v>
      </c>
      <c r="F18" s="55">
        <f t="shared" si="1"/>
        <v>-2909</v>
      </c>
      <c r="G18" s="56">
        <f t="shared" si="1"/>
        <v>-2817</v>
      </c>
      <c r="H18" s="56">
        <f t="shared" si="1"/>
        <v>-2657.3999999999996</v>
      </c>
      <c r="I18" s="56">
        <f t="shared" si="1"/>
        <v>-2620.8000000000002</v>
      </c>
      <c r="J18" s="56">
        <f t="shared" si="1"/>
        <v>-2596</v>
      </c>
      <c r="K18" s="56">
        <f t="shared" si="1"/>
        <v>-2587.7999999999997</v>
      </c>
    </row>
    <row r="19" spans="1:11" ht="15.95" customHeight="1" x14ac:dyDescent="0.25">
      <c r="A19" s="4"/>
      <c r="B19" s="64"/>
      <c r="C19" s="44"/>
      <c r="D19" s="44"/>
      <c r="E19" s="44"/>
      <c r="F19" s="45"/>
      <c r="G19" s="65"/>
      <c r="H19" s="65"/>
      <c r="I19" s="65"/>
      <c r="J19" s="65"/>
      <c r="K19" s="65"/>
    </row>
    <row r="20" spans="1:11" ht="15.95" customHeight="1" x14ac:dyDescent="0.25">
      <c r="A20" s="4"/>
      <c r="B20" s="79" t="s">
        <v>185</v>
      </c>
      <c r="C20" s="80"/>
      <c r="D20" s="80"/>
      <c r="E20" s="80"/>
      <c r="F20" s="81"/>
      <c r="G20" s="80"/>
      <c r="H20" s="80"/>
      <c r="I20" s="80"/>
      <c r="J20" s="80"/>
      <c r="K20" s="80"/>
    </row>
    <row r="21" spans="1:11" ht="15.95" customHeight="1" x14ac:dyDescent="0.25">
      <c r="A21" s="4"/>
      <c r="B21" s="64" t="s">
        <v>186</v>
      </c>
      <c r="C21" s="44">
        <v>-8635</v>
      </c>
      <c r="D21" s="44">
        <v>-9177</v>
      </c>
      <c r="E21" s="44">
        <v>-9364</v>
      </c>
      <c r="F21" s="45">
        <v>-9512</v>
      </c>
      <c r="G21" s="46">
        <f>-Assumptions!G36*Assumptions!G37</f>
        <v>-9576</v>
      </c>
      <c r="H21" s="46">
        <f>-Assumptions!H36*Assumptions!H37</f>
        <v>-9804</v>
      </c>
      <c r="I21" s="46">
        <f>-Assumptions!I36*Assumptions!I37</f>
        <v>-10032</v>
      </c>
      <c r="J21" s="46">
        <f>-Assumptions!J36*Assumptions!J37</f>
        <v>-10260</v>
      </c>
      <c r="K21" s="46">
        <f>-Assumptions!K36*Assumptions!K37</f>
        <v>-10488</v>
      </c>
    </row>
    <row r="22" spans="1:11" ht="15.95" customHeight="1" x14ac:dyDescent="0.25">
      <c r="A22" s="4"/>
      <c r="B22" s="64" t="s">
        <v>111</v>
      </c>
      <c r="C22" s="44">
        <v>-2114</v>
      </c>
      <c r="D22" s="44">
        <v>-3283</v>
      </c>
      <c r="E22" s="44">
        <v>-2000</v>
      </c>
      <c r="F22" s="45">
        <v>0</v>
      </c>
      <c r="G22" s="46">
        <f>-Assumptions!G38</f>
        <v>0</v>
      </c>
      <c r="H22" s="46">
        <f>-Assumptions!H38</f>
        <v>0</v>
      </c>
      <c r="I22" s="46">
        <f>-Assumptions!I38</f>
        <v>0</v>
      </c>
      <c r="J22" s="46">
        <f>-Assumptions!J38</f>
        <v>0</v>
      </c>
      <c r="K22" s="46">
        <f>-Assumptions!K38</f>
        <v>0</v>
      </c>
    </row>
    <row r="23" spans="1:11" ht="15.95" customHeight="1" x14ac:dyDescent="0.25">
      <c r="A23" s="4"/>
      <c r="B23" s="64" t="s">
        <v>187</v>
      </c>
      <c r="C23" s="44">
        <v>-1020</v>
      </c>
      <c r="D23" s="44">
        <v>-5284</v>
      </c>
      <c r="E23" s="44">
        <v>38729</v>
      </c>
      <c r="F23" s="45">
        <v>-7159</v>
      </c>
      <c r="G23" s="46">
        <f>'Debt Schedule'!G9</f>
        <v>-3000</v>
      </c>
      <c r="H23" s="46">
        <f>'Debt Schedule'!H9</f>
        <v>-3000</v>
      </c>
      <c r="I23" s="46">
        <f>'Debt Schedule'!I9</f>
        <v>0</v>
      </c>
      <c r="J23" s="46">
        <f>'Debt Schedule'!J9</f>
        <v>-4000</v>
      </c>
      <c r="K23" s="46">
        <f>'Debt Schedule'!K9</f>
        <v>0</v>
      </c>
    </row>
    <row r="24" spans="1:11" ht="15.95" customHeight="1" x14ac:dyDescent="0.25">
      <c r="A24" s="4"/>
      <c r="B24" s="74" t="s">
        <v>188</v>
      </c>
      <c r="C24" s="54">
        <f t="shared" ref="C24:K24" si="2">C21+C22+C23</f>
        <v>-11769</v>
      </c>
      <c r="D24" s="54">
        <f t="shared" si="2"/>
        <v>-17744</v>
      </c>
      <c r="E24" s="54">
        <f t="shared" si="2"/>
        <v>27365</v>
      </c>
      <c r="F24" s="55">
        <f t="shared" si="2"/>
        <v>-16671</v>
      </c>
      <c r="G24" s="56">
        <f t="shared" si="2"/>
        <v>-12576</v>
      </c>
      <c r="H24" s="56">
        <f t="shared" si="2"/>
        <v>-12804</v>
      </c>
      <c r="I24" s="56">
        <f t="shared" si="2"/>
        <v>-10032</v>
      </c>
      <c r="J24" s="56">
        <f t="shared" si="2"/>
        <v>-14260</v>
      </c>
      <c r="K24" s="56">
        <f t="shared" si="2"/>
        <v>-10488</v>
      </c>
    </row>
    <row r="25" spans="1:11" ht="15.95" customHeight="1" x14ac:dyDescent="0.25">
      <c r="A25" s="4"/>
      <c r="B25" s="64"/>
      <c r="C25" s="44"/>
      <c r="D25" s="44"/>
      <c r="E25" s="44"/>
      <c r="F25" s="45"/>
      <c r="G25" s="65"/>
      <c r="H25" s="65"/>
      <c r="I25" s="65"/>
      <c r="J25" s="65"/>
      <c r="K25" s="65"/>
    </row>
    <row r="26" spans="1:11" ht="15.95" customHeight="1" x14ac:dyDescent="0.25">
      <c r="A26" s="4"/>
      <c r="B26" s="66" t="s">
        <v>189</v>
      </c>
      <c r="C26" s="67">
        <f t="shared" ref="C26:K26" si="3">C14+C18+C24</f>
        <v>18100</v>
      </c>
      <c r="D26" s="67">
        <f t="shared" si="3"/>
        <v>8307</v>
      </c>
      <c r="E26" s="67">
        <f t="shared" si="3"/>
        <v>32158</v>
      </c>
      <c r="F26" s="68">
        <f t="shared" si="3"/>
        <v>-6836</v>
      </c>
      <c r="G26" s="69">
        <f t="shared" si="3"/>
        <v>-571.52070513699073</v>
      </c>
      <c r="H26" s="69">
        <f t="shared" si="3"/>
        <v>-789.52296541095347</v>
      </c>
      <c r="I26" s="69">
        <f t="shared" si="3"/>
        <v>3374.2769318493156</v>
      </c>
      <c r="J26" s="69">
        <f t="shared" si="3"/>
        <v>1411.2493976027399</v>
      </c>
      <c r="K26" s="69">
        <f t="shared" si="3"/>
        <v>7252.937753767128</v>
      </c>
    </row>
    <row r="27" spans="1:11" ht="15.95" customHeight="1" x14ac:dyDescent="0.25">
      <c r="A27" s="4"/>
      <c r="B27" s="64" t="s">
        <v>190</v>
      </c>
      <c r="C27" s="44">
        <v>10721</v>
      </c>
      <c r="D27" s="44">
        <v>31069</v>
      </c>
      <c r="E27" s="44">
        <v>22732</v>
      </c>
      <c r="F27" s="45">
        <v>12690</v>
      </c>
      <c r="G27" s="65">
        <f>F28</f>
        <v>5854</v>
      </c>
      <c r="H27" s="65">
        <f>G28</f>
        <v>5282.4792948630093</v>
      </c>
      <c r="I27" s="65">
        <f>H28</f>
        <v>4492.9563294520558</v>
      </c>
      <c r="J27" s="65">
        <f>I28</f>
        <v>7867.2332613013714</v>
      </c>
      <c r="K27" s="65">
        <f>J28</f>
        <v>9278.4826589041113</v>
      </c>
    </row>
    <row r="28" spans="1:11" ht="15.95" customHeight="1" thickBot="1" x14ac:dyDescent="0.3">
      <c r="A28" s="4"/>
      <c r="B28" s="76" t="s">
        <v>191</v>
      </c>
      <c r="C28" s="83">
        <f t="shared" ref="C28:K28" si="4">C27+C26</f>
        <v>28821</v>
      </c>
      <c r="D28" s="83">
        <f t="shared" si="4"/>
        <v>39376</v>
      </c>
      <c r="E28" s="83">
        <f t="shared" si="4"/>
        <v>54890</v>
      </c>
      <c r="F28" s="84">
        <f t="shared" si="4"/>
        <v>5854</v>
      </c>
      <c r="G28" s="85">
        <f t="shared" si="4"/>
        <v>5282.4792948630093</v>
      </c>
      <c r="H28" s="85">
        <f t="shared" si="4"/>
        <v>4492.9563294520558</v>
      </c>
      <c r="I28" s="85">
        <f t="shared" si="4"/>
        <v>7867.2332613013714</v>
      </c>
      <c r="J28" s="85">
        <f t="shared" si="4"/>
        <v>9278.4826589041113</v>
      </c>
      <c r="K28" s="85">
        <f t="shared" si="4"/>
        <v>16531.420412671239</v>
      </c>
    </row>
    <row r="29" spans="1:11" ht="15.75" customHeight="1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K29"/>
  <sheetViews>
    <sheetView showGridLines="0" workbookViewId="0">
      <pane xSplit="2" ySplit="5" topLeftCell="C6" activePane="bottomRight" state="frozen"/>
      <selection pane="topRight"/>
      <selection pane="bottomLeft" activeCell="A6" sqref="A6"/>
      <selection pane="bottomRight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11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95" customHeight="1" x14ac:dyDescent="0.25">
      <c r="A2" s="1"/>
      <c r="B2" s="2" t="s">
        <v>192</v>
      </c>
      <c r="C2" s="1"/>
      <c r="D2" s="1"/>
      <c r="E2" s="1"/>
      <c r="F2" s="1"/>
      <c r="G2" s="1"/>
      <c r="H2" s="1"/>
      <c r="I2" s="1"/>
      <c r="J2" s="1"/>
      <c r="K2" s="1"/>
    </row>
    <row r="3" spans="1:11" ht="15.95" customHeight="1" x14ac:dyDescent="0.25">
      <c r="A3" s="1"/>
      <c r="B3" s="3" t="s">
        <v>149</v>
      </c>
      <c r="C3" s="1"/>
      <c r="D3" s="1"/>
      <c r="E3" s="1"/>
      <c r="F3" s="1"/>
      <c r="G3" s="1"/>
      <c r="H3" s="1"/>
      <c r="I3" s="1"/>
      <c r="J3" s="1"/>
      <c r="K3" s="1"/>
    </row>
    <row r="4" spans="1:11" ht="15.95" customHeight="1" x14ac:dyDescent="0.25">
      <c r="A4" s="4"/>
      <c r="B4" s="1"/>
      <c r="C4" s="4"/>
      <c r="D4" s="4"/>
      <c r="E4" s="4"/>
      <c r="F4" s="4"/>
      <c r="G4" s="4"/>
      <c r="H4" s="4"/>
      <c r="I4" s="4"/>
      <c r="J4" s="4"/>
      <c r="K4" s="4"/>
    </row>
    <row r="5" spans="1:11" ht="15.95" customHeight="1" x14ac:dyDescent="0.25">
      <c r="A5" s="4"/>
      <c r="B5" s="39"/>
      <c r="C5" s="16" t="s">
        <v>80</v>
      </c>
      <c r="D5" s="16" t="s">
        <v>81</v>
      </c>
      <c r="E5" s="16" t="s">
        <v>82</v>
      </c>
      <c r="F5" s="40" t="s">
        <v>49</v>
      </c>
      <c r="G5" s="16" t="s">
        <v>50</v>
      </c>
      <c r="H5" s="16" t="s">
        <v>51</v>
      </c>
      <c r="I5" s="16" t="s">
        <v>52</v>
      </c>
      <c r="J5" s="16" t="s">
        <v>83</v>
      </c>
      <c r="K5" s="16" t="s">
        <v>84</v>
      </c>
    </row>
    <row r="6" spans="1:11" ht="15.95" customHeight="1" x14ac:dyDescent="0.25">
      <c r="A6" s="4"/>
      <c r="B6" s="1"/>
      <c r="C6" s="86"/>
      <c r="D6" s="86"/>
      <c r="E6" s="86"/>
      <c r="F6" s="87"/>
      <c r="G6" s="88"/>
      <c r="H6" s="88"/>
      <c r="I6" s="88"/>
      <c r="J6" s="88"/>
      <c r="K6" s="88"/>
    </row>
    <row r="7" spans="1:11" ht="15.95" customHeight="1" x14ac:dyDescent="0.25">
      <c r="A7" s="4"/>
      <c r="B7" s="89" t="s">
        <v>193</v>
      </c>
      <c r="C7" s="90"/>
      <c r="D7" s="90"/>
      <c r="E7" s="90"/>
      <c r="F7" s="91"/>
      <c r="G7" s="90"/>
      <c r="H7" s="90"/>
      <c r="I7" s="90"/>
      <c r="J7" s="90"/>
      <c r="K7" s="90"/>
    </row>
    <row r="8" spans="1:11" ht="15.95" customHeight="1" x14ac:dyDescent="0.25">
      <c r="A8" s="4"/>
      <c r="B8" s="1" t="s">
        <v>194</v>
      </c>
      <c r="C8" s="44">
        <f>'Income Statement'!C7</f>
        <v>81288</v>
      </c>
      <c r="D8" s="44">
        <f>'Income Statement'!D7</f>
        <v>100330</v>
      </c>
      <c r="E8" s="44">
        <f>'Income Statement'!E7</f>
        <v>59553</v>
      </c>
      <c r="F8" s="45">
        <f>'Income Statement'!F7</f>
        <v>63627</v>
      </c>
      <c r="G8" s="46">
        <f>'Income Statement'!G7</f>
        <v>62600</v>
      </c>
      <c r="H8" s="46">
        <f>'Income Statement'!H7</f>
        <v>61800</v>
      </c>
      <c r="I8" s="46">
        <f>'Income Statement'!I7</f>
        <v>62400</v>
      </c>
      <c r="J8" s="46">
        <f>'Income Statement'!J7</f>
        <v>64900</v>
      </c>
      <c r="K8" s="46">
        <f>'Income Statement'!K7</f>
        <v>68100</v>
      </c>
    </row>
    <row r="9" spans="1:11" ht="15.95" customHeight="1" x14ac:dyDescent="0.25">
      <c r="A9" s="4"/>
      <c r="B9" s="1" t="s">
        <v>195</v>
      </c>
      <c r="C9" s="44">
        <f>-'Income Statement'!C8</f>
        <v>30483</v>
      </c>
      <c r="D9" s="44">
        <f>-'Income Statement'!D8</f>
        <v>34344</v>
      </c>
      <c r="E9" s="44">
        <f>-'Income Statement'!E8</f>
        <v>24954</v>
      </c>
      <c r="F9" s="45">
        <f>-'Income Statement'!F8</f>
        <v>17851</v>
      </c>
      <c r="G9" s="46">
        <f>-'Income Statement'!G8</f>
        <v>17528</v>
      </c>
      <c r="H9" s="46">
        <f>-'Income Statement'!H8</f>
        <v>16995</v>
      </c>
      <c r="I9" s="46">
        <f>-'Income Statement'!I8</f>
        <v>16848</v>
      </c>
      <c r="J9" s="46">
        <f>-'Income Statement'!J8</f>
        <v>17198.5</v>
      </c>
      <c r="K9" s="46">
        <f>-'Income Statement'!K8</f>
        <v>17706</v>
      </c>
    </row>
    <row r="10" spans="1:11" ht="15.95" customHeight="1" x14ac:dyDescent="0.25">
      <c r="A10" s="4"/>
      <c r="B10" s="1" t="s">
        <v>181</v>
      </c>
      <c r="C10" s="86"/>
      <c r="D10" s="86"/>
      <c r="E10" s="86"/>
      <c r="F10" s="87"/>
      <c r="G10" s="88"/>
      <c r="H10" s="88"/>
      <c r="I10" s="88"/>
      <c r="J10" s="88"/>
      <c r="K10" s="88"/>
    </row>
    <row r="11" spans="1:11" ht="15.95" customHeight="1" x14ac:dyDescent="0.25">
      <c r="A11" s="4"/>
      <c r="B11" s="1" t="s">
        <v>196</v>
      </c>
      <c r="C11" s="92">
        <f>Assumptions!C25</f>
        <v>52</v>
      </c>
      <c r="D11" s="92">
        <f>Assumptions!D25</f>
        <v>40</v>
      </c>
      <c r="E11" s="92">
        <f>Assumptions!E25</f>
        <v>71</v>
      </c>
      <c r="F11" s="93">
        <f>Assumptions!F25</f>
        <v>66</v>
      </c>
      <c r="G11" s="94">
        <f>Assumptions!G25</f>
        <v>65</v>
      </c>
      <c r="H11" s="94">
        <f>Assumptions!H25</f>
        <v>65</v>
      </c>
      <c r="I11" s="94">
        <f>Assumptions!I25</f>
        <v>65</v>
      </c>
      <c r="J11" s="94">
        <f>Assumptions!J25</f>
        <v>65</v>
      </c>
      <c r="K11" s="94">
        <f>Assumptions!K25</f>
        <v>65</v>
      </c>
    </row>
    <row r="12" spans="1:11" ht="15.95" customHeight="1" x14ac:dyDescent="0.25">
      <c r="A12" s="4"/>
      <c r="B12" s="1" t="s">
        <v>197</v>
      </c>
      <c r="C12" s="92">
        <f>Assumptions!C26</f>
        <v>108</v>
      </c>
      <c r="D12" s="92">
        <f>Assumptions!D26</f>
        <v>95</v>
      </c>
      <c r="E12" s="92">
        <f>Assumptions!E26</f>
        <v>149</v>
      </c>
      <c r="F12" s="93">
        <f>Assumptions!F26</f>
        <v>222</v>
      </c>
      <c r="G12" s="94">
        <f>Assumptions!G26</f>
        <v>180</v>
      </c>
      <c r="H12" s="94">
        <f>Assumptions!H26</f>
        <v>170</v>
      </c>
      <c r="I12" s="94">
        <f>Assumptions!I26</f>
        <v>160</v>
      </c>
      <c r="J12" s="94">
        <f>Assumptions!J26</f>
        <v>155</v>
      </c>
      <c r="K12" s="94">
        <f>Assumptions!K26</f>
        <v>150</v>
      </c>
    </row>
    <row r="13" spans="1:11" ht="15.95" customHeight="1" x14ac:dyDescent="0.25">
      <c r="A13" s="4"/>
      <c r="B13" s="1" t="s">
        <v>198</v>
      </c>
      <c r="C13" s="92">
        <f>Assumptions!C27</f>
        <v>82</v>
      </c>
      <c r="D13" s="92">
        <f>Assumptions!D27</f>
        <v>59</v>
      </c>
      <c r="E13" s="92">
        <f>Assumptions!E27</f>
        <v>82</v>
      </c>
      <c r="F13" s="93">
        <f>Assumptions!F27</f>
        <v>115</v>
      </c>
      <c r="G13" s="94">
        <f>Assumptions!G27</f>
        <v>100</v>
      </c>
      <c r="H13" s="94">
        <f>Assumptions!H27</f>
        <v>100</v>
      </c>
      <c r="I13" s="94">
        <f>Assumptions!I27</f>
        <v>100</v>
      </c>
      <c r="J13" s="94">
        <f>Assumptions!J27</f>
        <v>100</v>
      </c>
      <c r="K13" s="94">
        <f>Assumptions!K27</f>
        <v>100</v>
      </c>
    </row>
    <row r="14" spans="1:11" ht="15.95" customHeight="1" x14ac:dyDescent="0.25">
      <c r="A14" s="4"/>
      <c r="B14" s="1" t="s">
        <v>199</v>
      </c>
      <c r="C14" s="50">
        <f>Assumptions!C28</f>
        <v>5.7000000000000002E-2</v>
      </c>
      <c r="D14" s="50">
        <f>Assumptions!D28</f>
        <v>6.0999999999999999E-2</v>
      </c>
      <c r="E14" s="50">
        <f>Assumptions!E28</f>
        <v>0.105</v>
      </c>
      <c r="F14" s="51">
        <f>Assumptions!F28</f>
        <v>0.11899999999999999</v>
      </c>
      <c r="G14" s="95">
        <f>Assumptions!G28</f>
        <v>0.1</v>
      </c>
      <c r="H14" s="95">
        <f>Assumptions!H28</f>
        <v>9.5000000000000001E-2</v>
      </c>
      <c r="I14" s="95">
        <f>Assumptions!I28</f>
        <v>0.09</v>
      </c>
      <c r="J14" s="95">
        <f>Assumptions!J28</f>
        <v>8.7999999999999995E-2</v>
      </c>
      <c r="K14" s="95">
        <f>Assumptions!K28</f>
        <v>8.5000000000000006E-2</v>
      </c>
    </row>
    <row r="15" spans="1:11" ht="15.95" customHeight="1" x14ac:dyDescent="0.25">
      <c r="A15" s="4"/>
      <c r="B15" s="1" t="s">
        <v>200</v>
      </c>
      <c r="C15" s="50">
        <f>Assumptions!C29</f>
        <v>0.24199999999999999</v>
      </c>
      <c r="D15" s="50">
        <f>Assumptions!D29</f>
        <v>0.20300000000000001</v>
      </c>
      <c r="E15" s="50">
        <f>Assumptions!E29</f>
        <v>0.47499999999999998</v>
      </c>
      <c r="F15" s="51">
        <f>Assumptions!F29</f>
        <v>0.47799999999999998</v>
      </c>
      <c r="G15" s="95">
        <f>Assumptions!G29</f>
        <v>0.45</v>
      </c>
      <c r="H15" s="95">
        <f>Assumptions!H29</f>
        <v>0.43</v>
      </c>
      <c r="I15" s="95">
        <f>Assumptions!I29</f>
        <v>0.41</v>
      </c>
      <c r="J15" s="95">
        <f>Assumptions!J29</f>
        <v>0.4</v>
      </c>
      <c r="K15" s="95">
        <f>Assumptions!K29</f>
        <v>0.39</v>
      </c>
    </row>
    <row r="16" spans="1:11" ht="15.95" customHeight="1" x14ac:dyDescent="0.25">
      <c r="A16" s="4"/>
      <c r="B16" s="1"/>
      <c r="C16" s="86"/>
      <c r="D16" s="86"/>
      <c r="E16" s="86"/>
      <c r="F16" s="87"/>
      <c r="G16" s="88"/>
      <c r="H16" s="88"/>
      <c r="I16" s="88"/>
      <c r="J16" s="88"/>
      <c r="K16" s="88"/>
    </row>
    <row r="17" spans="1:11" ht="15.95" customHeight="1" x14ac:dyDescent="0.25">
      <c r="A17" s="4"/>
      <c r="B17" s="89" t="s">
        <v>201</v>
      </c>
      <c r="C17" s="90"/>
      <c r="D17" s="90"/>
      <c r="E17" s="90"/>
      <c r="F17" s="91"/>
      <c r="G17" s="90"/>
      <c r="H17" s="90"/>
      <c r="I17" s="90"/>
      <c r="J17" s="90"/>
      <c r="K17" s="90"/>
    </row>
    <row r="18" spans="1:11" ht="15.95" customHeight="1" x14ac:dyDescent="0.25">
      <c r="A18" s="4"/>
      <c r="B18" s="1" t="s">
        <v>152</v>
      </c>
      <c r="C18" s="44">
        <v>11479</v>
      </c>
      <c r="D18" s="44">
        <v>10952</v>
      </c>
      <c r="E18" s="44">
        <v>11566</v>
      </c>
      <c r="F18" s="45">
        <v>11463</v>
      </c>
      <c r="G18" s="65">
        <f t="shared" ref="G18:K19" si="0">G8*G11/365</f>
        <v>11147.945205479453</v>
      </c>
      <c r="H18" s="65">
        <f t="shared" si="0"/>
        <v>11005.479452054795</v>
      </c>
      <c r="I18" s="65">
        <f t="shared" si="0"/>
        <v>11112.328767123288</v>
      </c>
      <c r="J18" s="65">
        <f t="shared" si="0"/>
        <v>11557.534246575342</v>
      </c>
      <c r="K18" s="65">
        <f t="shared" si="0"/>
        <v>12127.397260273972</v>
      </c>
    </row>
    <row r="19" spans="1:11" ht="15.95" customHeight="1" x14ac:dyDescent="0.25">
      <c r="A19" s="4"/>
      <c r="B19" s="1" t="s">
        <v>153</v>
      </c>
      <c r="C19" s="44">
        <v>9059</v>
      </c>
      <c r="D19" s="44">
        <v>8981</v>
      </c>
      <c r="E19" s="44">
        <v>10189</v>
      </c>
      <c r="F19" s="45">
        <v>10851</v>
      </c>
      <c r="G19" s="65">
        <f t="shared" si="0"/>
        <v>8643.9452054794529</v>
      </c>
      <c r="H19" s="65">
        <f t="shared" si="0"/>
        <v>7915.4794520547948</v>
      </c>
      <c r="I19" s="65">
        <f t="shared" si="0"/>
        <v>7385.4246575342468</v>
      </c>
      <c r="J19" s="65">
        <f t="shared" si="0"/>
        <v>7303.4726027397264</v>
      </c>
      <c r="K19" s="65">
        <f t="shared" si="0"/>
        <v>7276.4383561643835</v>
      </c>
    </row>
    <row r="20" spans="1:11" ht="15.95" customHeight="1" x14ac:dyDescent="0.25">
      <c r="A20" s="4"/>
      <c r="B20" s="1" t="s">
        <v>154</v>
      </c>
      <c r="C20" s="44">
        <v>4654</v>
      </c>
      <c r="D20" s="44">
        <v>6099</v>
      </c>
      <c r="E20" s="44">
        <v>6270</v>
      </c>
      <c r="F20" s="45">
        <v>7567</v>
      </c>
      <c r="G20" s="65">
        <f>G8*G14</f>
        <v>6260</v>
      </c>
      <c r="H20" s="65">
        <f>H8*H14</f>
        <v>5871</v>
      </c>
      <c r="I20" s="65">
        <f>I8*I14</f>
        <v>5616</v>
      </c>
      <c r="J20" s="65">
        <f>J8*J14</f>
        <v>5711.2</v>
      </c>
      <c r="K20" s="65">
        <f>K8*K14</f>
        <v>5788.5</v>
      </c>
    </row>
    <row r="21" spans="1:11" ht="15.95" customHeight="1" x14ac:dyDescent="0.25">
      <c r="A21" s="4"/>
      <c r="B21" s="96" t="s">
        <v>202</v>
      </c>
      <c r="C21" s="67">
        <f t="shared" ref="C21:K21" si="1">C18+C19+C20</f>
        <v>25192</v>
      </c>
      <c r="D21" s="67">
        <f t="shared" si="1"/>
        <v>26032</v>
      </c>
      <c r="E21" s="67">
        <f t="shared" si="1"/>
        <v>28025</v>
      </c>
      <c r="F21" s="68">
        <f t="shared" si="1"/>
        <v>29881</v>
      </c>
      <c r="G21" s="69">
        <f t="shared" si="1"/>
        <v>26051.890410958906</v>
      </c>
      <c r="H21" s="69">
        <f t="shared" si="1"/>
        <v>24791.95890410959</v>
      </c>
      <c r="I21" s="69">
        <f t="shared" si="1"/>
        <v>24113.753424657534</v>
      </c>
      <c r="J21" s="69">
        <f t="shared" si="1"/>
        <v>24572.206849315069</v>
      </c>
      <c r="K21" s="69">
        <f t="shared" si="1"/>
        <v>25192.335616438355</v>
      </c>
    </row>
    <row r="22" spans="1:11" ht="15.95" customHeight="1" x14ac:dyDescent="0.25">
      <c r="A22" s="4"/>
      <c r="B22" s="1"/>
      <c r="C22" s="44"/>
      <c r="D22" s="44"/>
      <c r="E22" s="44"/>
      <c r="F22" s="45"/>
      <c r="G22" s="65"/>
      <c r="H22" s="65"/>
      <c r="I22" s="65"/>
      <c r="J22" s="65"/>
      <c r="K22" s="65"/>
    </row>
    <row r="23" spans="1:11" ht="15.95" customHeight="1" x14ac:dyDescent="0.25">
      <c r="A23" s="4"/>
      <c r="B23" s="1" t="s">
        <v>164</v>
      </c>
      <c r="C23" s="44">
        <v>6844</v>
      </c>
      <c r="D23" s="44">
        <v>5578</v>
      </c>
      <c r="E23" s="44">
        <v>5578</v>
      </c>
      <c r="F23" s="45">
        <v>5633</v>
      </c>
      <c r="G23" s="65">
        <f>G9*G13/365</f>
        <v>4802.1917808219177</v>
      </c>
      <c r="H23" s="65">
        <f>H9*H13/365</f>
        <v>4656.1643835616442</v>
      </c>
      <c r="I23" s="65">
        <f>I9*I13/365</f>
        <v>4615.8904109589039</v>
      </c>
      <c r="J23" s="65">
        <f>J9*J13/365</f>
        <v>4711.9178082191784</v>
      </c>
      <c r="K23" s="65">
        <f>K9*K13/365</f>
        <v>4850.9589041095887</v>
      </c>
    </row>
    <row r="24" spans="1:11" ht="15.95" customHeight="1" x14ac:dyDescent="0.25">
      <c r="A24" s="4"/>
      <c r="B24" s="1" t="s">
        <v>165</v>
      </c>
      <c r="C24" s="44">
        <v>19703</v>
      </c>
      <c r="D24" s="44">
        <v>20413</v>
      </c>
      <c r="E24" s="44">
        <v>28289</v>
      </c>
      <c r="F24" s="45">
        <v>30416</v>
      </c>
      <c r="G24" s="65">
        <f>G8*G15</f>
        <v>28170</v>
      </c>
      <c r="H24" s="65">
        <f>H8*H15</f>
        <v>26574</v>
      </c>
      <c r="I24" s="65">
        <f>I8*I15</f>
        <v>25584</v>
      </c>
      <c r="J24" s="65">
        <f>J8*J15</f>
        <v>25960</v>
      </c>
      <c r="K24" s="65">
        <f>K8*K15</f>
        <v>26559</v>
      </c>
    </row>
    <row r="25" spans="1:11" ht="15.95" customHeight="1" x14ac:dyDescent="0.25">
      <c r="A25" s="4"/>
      <c r="B25" s="96" t="s">
        <v>203</v>
      </c>
      <c r="C25" s="67">
        <f t="shared" ref="C25:K25" si="2">C23+C24</f>
        <v>26547</v>
      </c>
      <c r="D25" s="67">
        <f t="shared" si="2"/>
        <v>25991</v>
      </c>
      <c r="E25" s="67">
        <f t="shared" si="2"/>
        <v>33867</v>
      </c>
      <c r="F25" s="68">
        <f t="shared" si="2"/>
        <v>36049</v>
      </c>
      <c r="G25" s="69">
        <f t="shared" si="2"/>
        <v>32972.191780821915</v>
      </c>
      <c r="H25" s="69">
        <f t="shared" si="2"/>
        <v>31230.164383561645</v>
      </c>
      <c r="I25" s="69">
        <f t="shared" si="2"/>
        <v>30199.890410958906</v>
      </c>
      <c r="J25" s="69">
        <f t="shared" si="2"/>
        <v>30671.917808219179</v>
      </c>
      <c r="K25" s="69">
        <f t="shared" si="2"/>
        <v>31409.95890410959</v>
      </c>
    </row>
    <row r="26" spans="1:11" ht="15.95" customHeight="1" x14ac:dyDescent="0.25">
      <c r="A26" s="4"/>
      <c r="B26" s="1"/>
      <c r="C26" s="44"/>
      <c r="D26" s="44"/>
      <c r="E26" s="44"/>
      <c r="F26" s="45"/>
      <c r="G26" s="65"/>
      <c r="H26" s="65"/>
      <c r="I26" s="65"/>
      <c r="J26" s="65"/>
      <c r="K26" s="65"/>
    </row>
    <row r="27" spans="1:11" ht="15.95" customHeight="1" x14ac:dyDescent="0.25">
      <c r="A27" s="4"/>
      <c r="B27" s="96" t="s">
        <v>204</v>
      </c>
      <c r="C27" s="67">
        <f t="shared" ref="C27:K27" si="3">C21-C25</f>
        <v>-1355</v>
      </c>
      <c r="D27" s="67">
        <f t="shared" si="3"/>
        <v>41</v>
      </c>
      <c r="E27" s="67">
        <f t="shared" si="3"/>
        <v>-5842</v>
      </c>
      <c r="F27" s="68">
        <f t="shared" si="3"/>
        <v>-6168</v>
      </c>
      <c r="G27" s="69">
        <f t="shared" si="3"/>
        <v>-6920.3013698630093</v>
      </c>
      <c r="H27" s="69">
        <f t="shared" si="3"/>
        <v>-6438.2054794520554</v>
      </c>
      <c r="I27" s="69">
        <f t="shared" si="3"/>
        <v>-6086.1369863013715</v>
      </c>
      <c r="J27" s="69">
        <f t="shared" si="3"/>
        <v>-6099.7109589041102</v>
      </c>
      <c r="K27" s="69">
        <f t="shared" si="3"/>
        <v>-6217.6232876712347</v>
      </c>
    </row>
    <row r="28" spans="1:11" ht="15.95" customHeight="1" thickBot="1" x14ac:dyDescent="0.3">
      <c r="A28" s="4"/>
      <c r="B28" s="97" t="s">
        <v>205</v>
      </c>
      <c r="C28" s="83">
        <v>0</v>
      </c>
      <c r="D28" s="83">
        <f t="shared" ref="D28:K28" si="4">D27-C27</f>
        <v>1396</v>
      </c>
      <c r="E28" s="83">
        <f t="shared" si="4"/>
        <v>-5883</v>
      </c>
      <c r="F28" s="84">
        <f t="shared" si="4"/>
        <v>-326</v>
      </c>
      <c r="G28" s="85">
        <f t="shared" si="4"/>
        <v>-752.30136986300931</v>
      </c>
      <c r="H28" s="85">
        <f t="shared" si="4"/>
        <v>482.09589041095387</v>
      </c>
      <c r="I28" s="85">
        <f t="shared" si="4"/>
        <v>352.06849315068393</v>
      </c>
      <c r="J28" s="85">
        <f t="shared" si="4"/>
        <v>-13.57397260273865</v>
      </c>
      <c r="K28" s="85">
        <f t="shared" si="4"/>
        <v>-117.91232876712456</v>
      </c>
    </row>
    <row r="29" spans="1:11" ht="15.75" customHeight="1" thickTop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K19"/>
  <sheetViews>
    <sheetView showGridLines="0" workbookViewId="0">
      <pane xSplit="2" ySplit="5" topLeftCell="C6" activePane="bottomRight" state="frozen"/>
      <selection pane="topRight"/>
      <selection pane="bottomLeft" activeCell="A6" sqref="A6"/>
      <selection pane="bottomRight" activeCell="I23" sqref="I23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11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95" customHeight="1" x14ac:dyDescent="0.25">
      <c r="A2" s="1"/>
      <c r="B2" s="2" t="s">
        <v>206</v>
      </c>
      <c r="C2" s="1"/>
      <c r="D2" s="1"/>
      <c r="E2" s="1"/>
      <c r="F2" s="1"/>
      <c r="G2" s="1"/>
      <c r="H2" s="1"/>
      <c r="I2" s="1"/>
      <c r="J2" s="1"/>
      <c r="K2" s="1"/>
    </row>
    <row r="3" spans="1:11" ht="15.95" customHeight="1" x14ac:dyDescent="0.25">
      <c r="A3" s="1"/>
      <c r="B3" s="3" t="s">
        <v>149</v>
      </c>
      <c r="C3" s="1"/>
      <c r="D3" s="1"/>
      <c r="E3" s="1"/>
      <c r="F3" s="1"/>
      <c r="G3" s="1"/>
      <c r="H3" s="1"/>
      <c r="I3" s="1"/>
      <c r="J3" s="1"/>
      <c r="K3" s="1"/>
    </row>
    <row r="4" spans="1:11" ht="15.95" customHeight="1" x14ac:dyDescent="0.25">
      <c r="A4" s="4"/>
      <c r="B4" s="1"/>
      <c r="C4" s="4"/>
      <c r="D4" s="4"/>
      <c r="E4" s="4"/>
      <c r="F4" s="4"/>
      <c r="G4" s="4"/>
      <c r="H4" s="4"/>
      <c r="I4" s="4"/>
      <c r="J4" s="4"/>
      <c r="K4" s="4"/>
    </row>
    <row r="5" spans="1:11" ht="15.95" customHeight="1" x14ac:dyDescent="0.25">
      <c r="A5" s="4"/>
      <c r="B5" s="39"/>
      <c r="C5" s="16" t="s">
        <v>80</v>
      </c>
      <c r="D5" s="16" t="s">
        <v>81</v>
      </c>
      <c r="E5" s="16" t="s">
        <v>82</v>
      </c>
      <c r="F5" s="40" t="s">
        <v>49</v>
      </c>
      <c r="G5" s="16" t="s">
        <v>50</v>
      </c>
      <c r="H5" s="16" t="s">
        <v>51</v>
      </c>
      <c r="I5" s="16" t="s">
        <v>52</v>
      </c>
      <c r="J5" s="16" t="s">
        <v>83</v>
      </c>
      <c r="K5" s="16" t="s">
        <v>84</v>
      </c>
    </row>
    <row r="6" spans="1:11" ht="15.95" customHeight="1" x14ac:dyDescent="0.25">
      <c r="A6" s="4"/>
      <c r="B6" s="1"/>
      <c r="C6" s="86"/>
      <c r="D6" s="86"/>
      <c r="E6" s="86"/>
      <c r="F6" s="87"/>
      <c r="G6" s="88"/>
      <c r="H6" s="88"/>
      <c r="I6" s="88"/>
      <c r="J6" s="88"/>
      <c r="K6" s="88"/>
    </row>
    <row r="7" spans="1:11" ht="15.95" customHeight="1" x14ac:dyDescent="0.25">
      <c r="A7" s="4"/>
      <c r="B7" s="89" t="s">
        <v>207</v>
      </c>
      <c r="C7" s="90"/>
      <c r="D7" s="90"/>
      <c r="E7" s="90"/>
      <c r="F7" s="91"/>
      <c r="G7" s="90"/>
      <c r="H7" s="90"/>
      <c r="I7" s="90"/>
      <c r="J7" s="90"/>
      <c r="K7" s="90"/>
    </row>
    <row r="8" spans="1:11" ht="15.95" customHeight="1" x14ac:dyDescent="0.25">
      <c r="A8" s="4"/>
      <c r="B8" s="1" t="s">
        <v>208</v>
      </c>
      <c r="C8" s="44"/>
      <c r="D8" s="44"/>
      <c r="E8" s="44"/>
      <c r="F8" s="45"/>
      <c r="G8" s="65">
        <f>F10</f>
        <v>57405</v>
      </c>
      <c r="H8" s="65">
        <f>G10</f>
        <v>54405</v>
      </c>
      <c r="I8" s="65">
        <f>H10</f>
        <v>51405</v>
      </c>
      <c r="J8" s="65">
        <f>I10</f>
        <v>51405</v>
      </c>
      <c r="K8" s="65">
        <f>J10</f>
        <v>47405</v>
      </c>
    </row>
    <row r="9" spans="1:11" ht="15.95" customHeight="1" x14ac:dyDescent="0.25">
      <c r="A9" s="4"/>
      <c r="B9" s="1" t="s">
        <v>209</v>
      </c>
      <c r="C9" s="44"/>
      <c r="D9" s="44"/>
      <c r="E9" s="44"/>
      <c r="F9" s="45"/>
      <c r="G9" s="82">
        <v>-3000</v>
      </c>
      <c r="H9" s="82">
        <v>-3000</v>
      </c>
      <c r="I9" s="82">
        <v>0</v>
      </c>
      <c r="J9" s="82">
        <v>-4000</v>
      </c>
      <c r="K9" s="82">
        <v>0</v>
      </c>
    </row>
    <row r="10" spans="1:11" ht="15.95" customHeight="1" x14ac:dyDescent="0.25">
      <c r="A10" s="4"/>
      <c r="B10" s="53" t="s">
        <v>210</v>
      </c>
      <c r="C10" s="54">
        <v>36195</v>
      </c>
      <c r="D10" s="54">
        <v>32884</v>
      </c>
      <c r="E10" s="54">
        <v>61538</v>
      </c>
      <c r="F10" s="55">
        <v>57405</v>
      </c>
      <c r="G10" s="56">
        <f>G8+G9</f>
        <v>54405</v>
      </c>
      <c r="H10" s="56">
        <f>H8+H9</f>
        <v>51405</v>
      </c>
      <c r="I10" s="56">
        <f>I8+I9</f>
        <v>51405</v>
      </c>
      <c r="J10" s="56">
        <f>J8+J9</f>
        <v>47405</v>
      </c>
      <c r="K10" s="56">
        <f>K8+K9</f>
        <v>47405</v>
      </c>
    </row>
    <row r="11" spans="1:11" ht="15.95" customHeight="1" x14ac:dyDescent="0.25">
      <c r="A11" s="4"/>
      <c r="B11" s="1" t="s">
        <v>181</v>
      </c>
      <c r="C11" s="86"/>
      <c r="D11" s="86"/>
      <c r="E11" s="86"/>
      <c r="F11" s="87"/>
      <c r="G11" s="88"/>
      <c r="H11" s="88"/>
      <c r="I11" s="88"/>
      <c r="J11" s="88"/>
      <c r="K11" s="88"/>
    </row>
    <row r="12" spans="1:11" ht="15.95" customHeight="1" x14ac:dyDescent="0.25">
      <c r="A12" s="4"/>
      <c r="B12" s="89" t="s">
        <v>211</v>
      </c>
      <c r="C12" s="90"/>
      <c r="D12" s="90"/>
      <c r="E12" s="90"/>
      <c r="F12" s="91"/>
      <c r="G12" s="90"/>
      <c r="H12" s="90"/>
      <c r="I12" s="90"/>
      <c r="J12" s="90"/>
      <c r="K12" s="90"/>
    </row>
    <row r="13" spans="1:11" ht="15.95" customHeight="1" x14ac:dyDescent="0.25">
      <c r="A13" s="4"/>
      <c r="B13" s="1" t="s">
        <v>212</v>
      </c>
      <c r="C13" s="44"/>
      <c r="D13" s="44"/>
      <c r="E13" s="44"/>
      <c r="F13" s="45"/>
      <c r="G13" s="65">
        <f>(G8+G10)/2</f>
        <v>55905</v>
      </c>
      <c r="H13" s="65">
        <f>(H8+H10)/2</f>
        <v>52905</v>
      </c>
      <c r="I13" s="65">
        <f>(I8+I10)/2</f>
        <v>51405</v>
      </c>
      <c r="J13" s="65">
        <f>(J8+J10)/2</f>
        <v>49405</v>
      </c>
      <c r="K13" s="65">
        <f>(K8+K10)/2</f>
        <v>47405</v>
      </c>
    </row>
    <row r="14" spans="1:11" ht="15.95" customHeight="1" x14ac:dyDescent="0.25">
      <c r="A14" s="4"/>
      <c r="B14" s="53" t="s">
        <v>213</v>
      </c>
      <c r="C14" s="54"/>
      <c r="D14" s="54"/>
      <c r="E14" s="54"/>
      <c r="F14" s="55"/>
      <c r="G14" s="56">
        <f>-G13*G15</f>
        <v>-2677.8494999999998</v>
      </c>
      <c r="H14" s="56">
        <f>-H13*H15</f>
        <v>-2534.1495</v>
      </c>
      <c r="I14" s="56">
        <f>-I13*I15</f>
        <v>-2462.2995000000001</v>
      </c>
      <c r="J14" s="56">
        <f>-J13*J15</f>
        <v>-2366.4994999999999</v>
      </c>
      <c r="K14" s="56">
        <f>-K13*K15</f>
        <v>-2270.6994999999997</v>
      </c>
    </row>
    <row r="15" spans="1:11" ht="15.95" customHeight="1" x14ac:dyDescent="0.25">
      <c r="A15" s="4"/>
      <c r="B15" s="1" t="s">
        <v>214</v>
      </c>
      <c r="C15" s="98"/>
      <c r="D15" s="98"/>
      <c r="E15" s="98"/>
      <c r="F15" s="99"/>
      <c r="G15" s="100">
        <f>Assumptions!C44</f>
        <v>4.7899999999999998E-2</v>
      </c>
      <c r="H15" s="100">
        <f>Assumptions!C44</f>
        <v>4.7899999999999998E-2</v>
      </c>
      <c r="I15" s="100">
        <f>Assumptions!C44</f>
        <v>4.7899999999999998E-2</v>
      </c>
      <c r="J15" s="100">
        <f>Assumptions!C44</f>
        <v>4.7899999999999998E-2</v>
      </c>
      <c r="K15" s="100">
        <f>Assumptions!C44</f>
        <v>4.7899999999999998E-2</v>
      </c>
    </row>
    <row r="16" spans="1:11" ht="15.95" customHeight="1" x14ac:dyDescent="0.25">
      <c r="A16" s="4"/>
      <c r="B16" s="1"/>
      <c r="C16" s="86"/>
      <c r="D16" s="86"/>
      <c r="E16" s="86"/>
      <c r="F16" s="87"/>
      <c r="G16" s="88"/>
      <c r="H16" s="88"/>
      <c r="I16" s="88"/>
      <c r="J16" s="88"/>
      <c r="K16" s="88"/>
    </row>
    <row r="17" spans="1:11" ht="15.95" customHeight="1" x14ac:dyDescent="0.25">
      <c r="A17" s="4"/>
      <c r="B17" s="89" t="s">
        <v>215</v>
      </c>
      <c r="C17" s="90"/>
      <c r="D17" s="90"/>
      <c r="E17" s="90"/>
      <c r="F17" s="91"/>
      <c r="G17" s="90"/>
      <c r="H17" s="90"/>
      <c r="I17" s="90"/>
      <c r="J17" s="90"/>
      <c r="K17" s="90"/>
    </row>
    <row r="18" spans="1:11" ht="15.95" customHeight="1" x14ac:dyDescent="0.25">
      <c r="A18" s="4"/>
      <c r="B18" s="53" t="s">
        <v>216</v>
      </c>
      <c r="C18" s="54">
        <v>38436</v>
      </c>
      <c r="D18" s="54">
        <v>35829</v>
      </c>
      <c r="E18" s="54">
        <v>71888</v>
      </c>
      <c r="F18" s="55">
        <v>64351</v>
      </c>
      <c r="G18" s="56">
        <f>G10</f>
        <v>54405</v>
      </c>
      <c r="H18" s="56">
        <f>H10</f>
        <v>51405</v>
      </c>
      <c r="I18" s="56">
        <f>I10</f>
        <v>51405</v>
      </c>
      <c r="J18" s="56">
        <f>J10</f>
        <v>47405</v>
      </c>
      <c r="K18" s="56">
        <f>K10</f>
        <v>47405</v>
      </c>
    </row>
    <row r="19" spans="1:11" ht="15.95" customHeight="1" x14ac:dyDescent="0.25">
      <c r="A19" s="4"/>
      <c r="B19" s="1" t="s">
        <v>217</v>
      </c>
      <c r="C19" s="44">
        <v>7367</v>
      </c>
      <c r="D19" s="44">
        <v>13097</v>
      </c>
      <c r="E19" s="44">
        <v>59198</v>
      </c>
      <c r="F19" s="45">
        <v>43874</v>
      </c>
      <c r="G19" s="46">
        <f>G18-'Balance Sheet'!G7</f>
        <v>49122.520705136994</v>
      </c>
      <c r="H19" s="46">
        <f>H18-'Balance Sheet'!H7</f>
        <v>46912.043670547944</v>
      </c>
      <c r="I19" s="46">
        <f>I18-'Balance Sheet'!I7</f>
        <v>43537.766738698629</v>
      </c>
      <c r="J19" s="46">
        <f>J18-'Balance Sheet'!J7</f>
        <v>38126.517341095889</v>
      </c>
      <c r="K19" s="46">
        <f>K18-'Balance Sheet'!K7</f>
        <v>30873.579587328761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8F00"/>
  </sheetPr>
  <dimension ref="A1:K50"/>
  <sheetViews>
    <sheetView showGridLines="0" zoomScaleNormal="100" workbookViewId="0">
      <pane xSplit="2" ySplit="5" topLeftCell="C28" activePane="bottomRight" state="frozen"/>
      <selection pane="topRight"/>
      <selection pane="bottomLeft" activeCell="A6" sqref="A6"/>
      <selection pane="bottomRight" activeCell="B10" sqref="B10"/>
    </sheetView>
  </sheetViews>
  <sheetFormatPr defaultRowHeight="15" x14ac:dyDescent="0.25"/>
  <cols>
    <col min="1" max="1" width="2" customWidth="1"/>
    <col min="2" max="2" width="52" customWidth="1"/>
    <col min="3" max="3" width="20.7109375" customWidth="1"/>
    <col min="4" max="12" width="13" customWidth="1"/>
  </cols>
  <sheetData>
    <row r="1" spans="1:11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95" customHeight="1" x14ac:dyDescent="0.25">
      <c r="A2" s="1"/>
      <c r="B2" s="2" t="s">
        <v>218</v>
      </c>
      <c r="C2" s="1"/>
      <c r="D2" s="1"/>
      <c r="E2" s="1"/>
      <c r="F2" s="1"/>
      <c r="G2" s="1"/>
      <c r="H2" s="1"/>
      <c r="I2" s="1"/>
      <c r="J2" s="1"/>
      <c r="K2" s="1"/>
    </row>
    <row r="3" spans="1:11" ht="15.95" customHeight="1" x14ac:dyDescent="0.25">
      <c r="A3" s="1"/>
      <c r="B3" s="3" t="s">
        <v>126</v>
      </c>
      <c r="C3" s="1"/>
      <c r="D3" s="1"/>
      <c r="E3" s="1"/>
      <c r="F3" s="1"/>
      <c r="G3" s="1"/>
      <c r="H3" s="1"/>
      <c r="I3" s="1"/>
      <c r="J3" s="1"/>
      <c r="K3" s="1"/>
    </row>
    <row r="4" spans="1:11" ht="15.95" customHeight="1" x14ac:dyDescent="0.25">
      <c r="A4" s="4"/>
      <c r="B4" s="1"/>
      <c r="C4" s="4"/>
      <c r="D4" s="4"/>
      <c r="E4" s="4"/>
      <c r="F4" s="4"/>
      <c r="G4" s="4"/>
      <c r="H4" s="4"/>
      <c r="I4" s="4"/>
      <c r="J4" s="4"/>
      <c r="K4" s="4"/>
    </row>
    <row r="5" spans="1:11" ht="15.95" customHeight="1" x14ac:dyDescent="0.25">
      <c r="A5" s="4"/>
      <c r="B5" s="39"/>
      <c r="C5" s="16" t="s">
        <v>50</v>
      </c>
      <c r="D5" s="16" t="s">
        <v>51</v>
      </c>
      <c r="E5" s="16" t="s">
        <v>52</v>
      </c>
      <c r="F5" s="16" t="s">
        <v>83</v>
      </c>
      <c r="G5" s="16" t="s">
        <v>84</v>
      </c>
      <c r="H5" s="101"/>
      <c r="I5" s="101"/>
      <c r="J5" s="101"/>
      <c r="K5" s="101"/>
    </row>
    <row r="6" spans="1:11" ht="15.95" customHeight="1" x14ac:dyDescent="0.25">
      <c r="A6" s="4"/>
      <c r="B6" s="1"/>
      <c r="C6" s="88"/>
      <c r="D6" s="88"/>
      <c r="E6" s="88"/>
      <c r="F6" s="88"/>
      <c r="G6" s="88"/>
      <c r="H6" s="4"/>
      <c r="I6" s="4"/>
      <c r="J6" s="4"/>
      <c r="K6" s="4"/>
    </row>
    <row r="7" spans="1:11" ht="15.95" customHeight="1" x14ac:dyDescent="0.25">
      <c r="A7" s="4"/>
      <c r="B7" s="89" t="s">
        <v>219</v>
      </c>
      <c r="C7" s="90"/>
      <c r="D7" s="90"/>
      <c r="E7" s="90"/>
      <c r="F7" s="90"/>
      <c r="G7" s="90"/>
      <c r="H7" s="4"/>
      <c r="I7" s="4"/>
      <c r="J7" s="4"/>
      <c r="K7" s="4"/>
    </row>
    <row r="8" spans="1:11" ht="15.95" customHeight="1" x14ac:dyDescent="0.25">
      <c r="A8" s="4"/>
      <c r="B8" s="1" t="s">
        <v>141</v>
      </c>
      <c r="C8" s="46">
        <f>'Income Statement'!G21</f>
        <v>10171</v>
      </c>
      <c r="D8" s="46">
        <f>'Income Statement'!H21</f>
        <v>11480</v>
      </c>
      <c r="E8" s="46">
        <f>'Income Statement'!I21</f>
        <v>13026</v>
      </c>
      <c r="F8" s="46">
        <f>'Income Statement'!J21</f>
        <v>15312</v>
      </c>
      <c r="G8" s="46">
        <f>'Income Statement'!K21</f>
        <v>17695.2</v>
      </c>
      <c r="H8" s="4"/>
      <c r="I8" s="4"/>
      <c r="J8" s="4"/>
      <c r="K8" s="4"/>
    </row>
    <row r="9" spans="1:11" ht="15.95" customHeight="1" x14ac:dyDescent="0.25">
      <c r="A9" s="4"/>
      <c r="B9" s="1" t="s">
        <v>220</v>
      </c>
      <c r="C9" s="46">
        <f>-C8*Assumptions!C47</f>
        <v>-1525.6499999999999</v>
      </c>
      <c r="D9" s="46">
        <f>-D8*Assumptions!C47</f>
        <v>-1722</v>
      </c>
      <c r="E9" s="46">
        <f>-E8*Assumptions!C47</f>
        <v>-1953.8999999999999</v>
      </c>
      <c r="F9" s="46">
        <f>-F8*Assumptions!C47</f>
        <v>-2296.7999999999997</v>
      </c>
      <c r="G9" s="46">
        <f>-G8*Assumptions!C47</f>
        <v>-2654.28</v>
      </c>
      <c r="H9" s="4"/>
      <c r="I9" s="4"/>
      <c r="J9" s="4"/>
      <c r="K9" s="4"/>
    </row>
    <row r="10" spans="1:11" ht="15.95" customHeight="1" x14ac:dyDescent="0.25">
      <c r="A10" s="4"/>
      <c r="B10" s="1" t="s">
        <v>221</v>
      </c>
      <c r="C10" s="65">
        <f>C8+C9</f>
        <v>8645.35</v>
      </c>
      <c r="D10" s="65">
        <f>D8+D9</f>
        <v>9758</v>
      </c>
      <c r="E10" s="65">
        <f>E8+E9</f>
        <v>11072.1</v>
      </c>
      <c r="F10" s="65">
        <f>F8+F9</f>
        <v>13015.2</v>
      </c>
      <c r="G10" s="65">
        <f>G8+G9</f>
        <v>15040.92</v>
      </c>
      <c r="H10" s="4"/>
      <c r="I10" s="4"/>
      <c r="J10" s="4"/>
      <c r="K10" s="4"/>
    </row>
    <row r="11" spans="1:11" ht="15.95" customHeight="1" x14ac:dyDescent="0.25">
      <c r="A11" s="4"/>
      <c r="B11" s="1" t="s">
        <v>222</v>
      </c>
      <c r="C11" s="46">
        <f>Assumptions!G33</f>
        <v>1800</v>
      </c>
      <c r="D11" s="46">
        <f>Assumptions!H33</f>
        <v>1850</v>
      </c>
      <c r="E11" s="46">
        <f>Assumptions!I33</f>
        <v>1900</v>
      </c>
      <c r="F11" s="46">
        <f>Assumptions!J33</f>
        <v>1950</v>
      </c>
      <c r="G11" s="46">
        <f>Assumptions!K33</f>
        <v>2000</v>
      </c>
      <c r="H11" s="4"/>
      <c r="I11" s="4"/>
      <c r="J11" s="4"/>
      <c r="K11" s="4"/>
    </row>
    <row r="12" spans="1:11" ht="15.95" customHeight="1" x14ac:dyDescent="0.25">
      <c r="A12" s="4"/>
      <c r="B12" s="1" t="s">
        <v>223</v>
      </c>
      <c r="C12" s="46">
        <f>-'Income Statement'!G7*Assumptions!G32</f>
        <v>-2817</v>
      </c>
      <c r="D12" s="46">
        <f>-'Income Statement'!H7*Assumptions!H32</f>
        <v>-2657.3999999999996</v>
      </c>
      <c r="E12" s="46">
        <f>-'Income Statement'!I7*Assumptions!I32</f>
        <v>-2620.8000000000002</v>
      </c>
      <c r="F12" s="46">
        <f>-'Income Statement'!J7*Assumptions!J32</f>
        <v>-2596</v>
      </c>
      <c r="G12" s="46">
        <f>-'Income Statement'!K7*Assumptions!K32</f>
        <v>-2587.7999999999997</v>
      </c>
      <c r="H12" s="4"/>
      <c r="I12" s="4"/>
      <c r="J12" s="4"/>
      <c r="K12" s="4"/>
    </row>
    <row r="13" spans="1:11" ht="15.95" customHeight="1" x14ac:dyDescent="0.25">
      <c r="A13" s="4"/>
      <c r="B13" s="1" t="s">
        <v>224</v>
      </c>
      <c r="C13" s="46">
        <f>-'Working Capital'!G28</f>
        <v>752.30136986300931</v>
      </c>
      <c r="D13" s="46">
        <f>-'Working Capital'!H28</f>
        <v>-482.09589041095387</v>
      </c>
      <c r="E13" s="46">
        <f>-'Working Capital'!I28</f>
        <v>-352.06849315068393</v>
      </c>
      <c r="F13" s="46">
        <f>-'Working Capital'!J28</f>
        <v>13.57397260273865</v>
      </c>
      <c r="G13" s="46">
        <f>-'Working Capital'!K28</f>
        <v>117.91232876712456</v>
      </c>
      <c r="H13" s="4"/>
      <c r="I13" s="4"/>
      <c r="J13" s="4"/>
      <c r="K13" s="4"/>
    </row>
    <row r="14" spans="1:11" ht="15.95" customHeight="1" x14ac:dyDescent="0.25">
      <c r="A14" s="4"/>
      <c r="B14" s="53" t="s">
        <v>225</v>
      </c>
      <c r="C14" s="56">
        <f>C10+C11+C12+C13</f>
        <v>8380.6513698630097</v>
      </c>
      <c r="D14" s="56">
        <f>D10+D11+D12+D13</f>
        <v>8468.5041095890465</v>
      </c>
      <c r="E14" s="56">
        <f>E10+E11+E12+E13</f>
        <v>9999.2315068493153</v>
      </c>
      <c r="F14" s="56">
        <f>F10+F11+F12+F13</f>
        <v>12382.773972602739</v>
      </c>
      <c r="G14" s="56">
        <f>G10+G11+G12+G13</f>
        <v>14571.032328767124</v>
      </c>
      <c r="H14" s="4"/>
      <c r="I14" s="4"/>
      <c r="J14" s="4"/>
      <c r="K14" s="4"/>
    </row>
    <row r="15" spans="1:11" ht="15.95" customHeight="1" x14ac:dyDescent="0.25">
      <c r="A15" s="4"/>
      <c r="B15" s="1" t="s">
        <v>181</v>
      </c>
      <c r="C15" s="88"/>
      <c r="D15" s="88"/>
      <c r="E15" s="88"/>
      <c r="F15" s="88"/>
      <c r="G15" s="88"/>
      <c r="H15" s="4"/>
      <c r="I15" s="4"/>
      <c r="J15" s="4"/>
      <c r="K15" s="4"/>
    </row>
    <row r="16" spans="1:11" ht="15.95" customHeight="1" x14ac:dyDescent="0.25">
      <c r="A16" s="4"/>
      <c r="B16" s="89" t="s">
        <v>226</v>
      </c>
      <c r="C16" s="90"/>
      <c r="D16" s="90"/>
      <c r="E16" s="90"/>
      <c r="F16" s="90"/>
      <c r="G16" s="90"/>
      <c r="H16" s="4"/>
      <c r="I16" s="4"/>
      <c r="J16" s="4"/>
      <c r="K16" s="4"/>
    </row>
    <row r="17" spans="1:11" ht="15.95" customHeight="1" x14ac:dyDescent="0.25">
      <c r="A17" s="4"/>
      <c r="B17" s="1" t="s">
        <v>124</v>
      </c>
      <c r="C17" s="100">
        <f>Assumptions!C54</f>
        <v>5.3673288930581611E-2</v>
      </c>
      <c r="D17" s="100">
        <f>Assumptions!C54</f>
        <v>5.3673288930581611E-2</v>
      </c>
      <c r="E17" s="100">
        <f>Assumptions!C54</f>
        <v>5.3673288930581611E-2</v>
      </c>
      <c r="F17" s="100">
        <f>Assumptions!C54</f>
        <v>5.3673288930581611E-2</v>
      </c>
      <c r="G17" s="100">
        <f>Assumptions!C54</f>
        <v>5.3673288930581611E-2</v>
      </c>
      <c r="H17" s="4"/>
      <c r="I17" s="4"/>
      <c r="J17" s="4"/>
      <c r="K17" s="4"/>
    </row>
    <row r="18" spans="1:11" ht="15.95" customHeight="1" x14ac:dyDescent="0.25">
      <c r="A18" s="4"/>
      <c r="B18" s="1" t="s">
        <v>227</v>
      </c>
      <c r="C18" s="102">
        <v>1</v>
      </c>
      <c r="D18" s="102">
        <v>2</v>
      </c>
      <c r="E18" s="102">
        <v>3</v>
      </c>
      <c r="F18" s="102">
        <v>4</v>
      </c>
      <c r="G18" s="102">
        <v>5</v>
      </c>
      <c r="H18" s="4"/>
      <c r="I18" s="4"/>
      <c r="J18" s="4"/>
      <c r="K18" s="4"/>
    </row>
    <row r="19" spans="1:11" ht="15.95" customHeight="1" x14ac:dyDescent="0.25">
      <c r="A19" s="4"/>
      <c r="B19" s="1" t="s">
        <v>228</v>
      </c>
      <c r="C19" s="103">
        <f>1/(1+C17)^C18</f>
        <v>0.94906078620911338</v>
      </c>
      <c r="D19" s="103">
        <f>1/(1+D17)^D18</f>
        <v>0.90071637591986042</v>
      </c>
      <c r="E19" s="103">
        <f>1/(1+E17)^E18</f>
        <v>0.85483459188192612</v>
      </c>
      <c r="F19" s="103">
        <f>1/(1+F17)^F18</f>
        <v>0.81128998985020728</v>
      </c>
      <c r="G19" s="103">
        <f>1/(1+G17)^G18</f>
        <v>0.76996351561082133</v>
      </c>
      <c r="H19" s="4"/>
      <c r="I19" s="4"/>
      <c r="J19" s="4"/>
      <c r="K19" s="4"/>
    </row>
    <row r="20" spans="1:11" ht="15.95" customHeight="1" x14ac:dyDescent="0.25">
      <c r="A20" s="4"/>
      <c r="B20" s="53" t="s">
        <v>229</v>
      </c>
      <c r="C20" s="56">
        <f>C14*C19</f>
        <v>7953.7475780266714</v>
      </c>
      <c r="D20" s="56">
        <f>D14*D19</f>
        <v>7627.7203310514906</v>
      </c>
      <c r="E20" s="56">
        <f>E14*E19</f>
        <v>8547.6889842904311</v>
      </c>
      <c r="F20" s="56">
        <f>F14*F19</f>
        <v>10046.020570550287</v>
      </c>
      <c r="G20" s="56">
        <f>G14*G19</f>
        <v>11219.163277936468</v>
      </c>
      <c r="H20" s="4"/>
      <c r="I20" s="4"/>
      <c r="J20" s="4"/>
      <c r="K20" s="4"/>
    </row>
    <row r="21" spans="1:11" ht="15.95" customHeight="1" x14ac:dyDescent="0.25">
      <c r="A21" s="4"/>
      <c r="B21" s="1" t="s">
        <v>181</v>
      </c>
      <c r="C21" s="88"/>
      <c r="D21" s="88"/>
      <c r="E21" s="88"/>
      <c r="F21" s="88"/>
      <c r="G21" s="88"/>
      <c r="H21" s="4"/>
      <c r="I21" s="4"/>
      <c r="J21" s="4"/>
      <c r="K21" s="4"/>
    </row>
    <row r="22" spans="1:11" ht="15.95" customHeight="1" x14ac:dyDescent="0.25">
      <c r="A22" s="4"/>
      <c r="B22" s="89" t="s">
        <v>230</v>
      </c>
      <c r="C22" s="90"/>
      <c r="D22" s="90"/>
      <c r="E22" s="90"/>
      <c r="F22" s="90"/>
      <c r="G22" s="90"/>
      <c r="H22" s="4"/>
      <c r="I22" s="4"/>
      <c r="J22" s="4"/>
      <c r="K22" s="4"/>
    </row>
    <row r="23" spans="1:11" ht="15.95" customHeight="1" x14ac:dyDescent="0.25">
      <c r="A23" s="4"/>
      <c r="B23" s="1" t="s">
        <v>231</v>
      </c>
      <c r="C23" s="65">
        <f>G14</f>
        <v>14571.032328767124</v>
      </c>
      <c r="D23" s="88"/>
      <c r="E23" s="88"/>
      <c r="F23" s="88"/>
      <c r="G23" s="88"/>
      <c r="H23" s="4"/>
      <c r="I23" s="4"/>
      <c r="J23" s="4"/>
      <c r="K23" s="4"/>
    </row>
    <row r="24" spans="1:11" ht="15.95" customHeight="1" x14ac:dyDescent="0.25">
      <c r="A24" s="4"/>
      <c r="B24" s="1" t="s">
        <v>119</v>
      </c>
      <c r="C24" s="104">
        <f>Assumptions!C48</f>
        <v>0.02</v>
      </c>
      <c r="D24" s="88"/>
      <c r="E24" s="88"/>
      <c r="F24" s="88"/>
      <c r="G24" s="88"/>
      <c r="H24" s="4"/>
      <c r="I24" s="4"/>
      <c r="J24" s="4"/>
      <c r="K24" s="4"/>
    </row>
    <row r="25" spans="1:11" ht="15.95" customHeight="1" x14ac:dyDescent="0.25">
      <c r="A25" s="4"/>
      <c r="B25" s="1" t="s">
        <v>124</v>
      </c>
      <c r="C25" s="104">
        <f>Assumptions!C54</f>
        <v>5.3673288930581611E-2</v>
      </c>
      <c r="D25" s="88"/>
      <c r="E25" s="88"/>
      <c r="F25" s="88"/>
      <c r="G25" s="88"/>
      <c r="H25" s="4"/>
      <c r="I25" s="4"/>
      <c r="J25" s="4"/>
      <c r="K25" s="4"/>
    </row>
    <row r="26" spans="1:11" ht="15.95" customHeight="1" x14ac:dyDescent="0.25">
      <c r="A26" s="4"/>
      <c r="B26" s="53" t="s">
        <v>232</v>
      </c>
      <c r="C26" s="56">
        <f>C23*(1+C24)/(C25-C24)</f>
        <v>441372.18095867662</v>
      </c>
      <c r="D26" s="105"/>
      <c r="E26" s="105"/>
      <c r="F26" s="105"/>
      <c r="G26" s="105"/>
      <c r="H26" s="4"/>
      <c r="I26" s="4"/>
      <c r="J26" s="4"/>
      <c r="K26" s="4"/>
    </row>
    <row r="27" spans="1:11" ht="15.95" customHeight="1" x14ac:dyDescent="0.25">
      <c r="A27" s="4"/>
      <c r="B27" s="1" t="s">
        <v>233</v>
      </c>
      <c r="C27" s="65">
        <f>C26*G19</f>
        <v>339840.47614375828</v>
      </c>
      <c r="D27" s="88"/>
      <c r="E27" s="88"/>
      <c r="F27" s="88"/>
      <c r="G27" s="88"/>
      <c r="H27" s="4"/>
      <c r="I27" s="4"/>
      <c r="J27" s="4"/>
      <c r="K27" s="4"/>
    </row>
    <row r="28" spans="1:11" ht="15.95" customHeight="1" x14ac:dyDescent="0.25">
      <c r="A28" s="4"/>
      <c r="B28" s="1" t="s">
        <v>181</v>
      </c>
      <c r="C28" s="88"/>
      <c r="D28" s="88"/>
      <c r="E28" s="88"/>
      <c r="F28" s="88"/>
      <c r="G28" s="88"/>
      <c r="H28" s="4"/>
      <c r="I28" s="4"/>
      <c r="J28" s="4"/>
      <c r="K28" s="4"/>
    </row>
    <row r="29" spans="1:11" ht="15.95" customHeight="1" x14ac:dyDescent="0.25">
      <c r="A29" s="4"/>
      <c r="B29" s="89" t="s">
        <v>57</v>
      </c>
      <c r="C29" s="90"/>
      <c r="D29" s="90"/>
      <c r="E29" s="90"/>
      <c r="F29" s="90"/>
      <c r="G29" s="90"/>
      <c r="H29" s="4"/>
      <c r="I29" s="4"/>
      <c r="J29" s="4"/>
      <c r="K29" s="4"/>
    </row>
    <row r="30" spans="1:11" ht="15.95" customHeight="1" x14ac:dyDescent="0.25">
      <c r="A30" s="4"/>
      <c r="B30" s="1" t="s">
        <v>234</v>
      </c>
      <c r="C30" s="65">
        <f>SUM(C20:G20)</f>
        <v>45394.340741855347</v>
      </c>
      <c r="D30" s="88"/>
      <c r="E30" s="88"/>
      <c r="F30" s="88"/>
      <c r="G30" s="88"/>
      <c r="H30" s="4"/>
      <c r="I30" s="4"/>
      <c r="J30" s="4"/>
      <c r="K30" s="4"/>
    </row>
    <row r="31" spans="1:11" ht="15.95" customHeight="1" x14ac:dyDescent="0.25">
      <c r="A31" s="4"/>
      <c r="B31" s="1" t="s">
        <v>233</v>
      </c>
      <c r="C31" s="65">
        <f>C27</f>
        <v>339840.47614375828</v>
      </c>
      <c r="D31" s="88"/>
      <c r="E31" s="88"/>
      <c r="F31" s="88"/>
      <c r="G31" s="88"/>
      <c r="H31" s="4"/>
      <c r="I31" s="4"/>
      <c r="J31" s="4"/>
      <c r="K31" s="4"/>
    </row>
    <row r="32" spans="1:11" ht="15.95" customHeight="1" x14ac:dyDescent="0.25">
      <c r="A32" s="4"/>
      <c r="B32" s="53" t="s">
        <v>235</v>
      </c>
      <c r="C32" s="56">
        <f>C30+C31</f>
        <v>385234.8168856136</v>
      </c>
      <c r="D32" s="105"/>
      <c r="E32" s="105"/>
      <c r="F32" s="105"/>
      <c r="G32" s="105"/>
      <c r="H32" s="4"/>
      <c r="I32" s="4"/>
      <c r="J32" s="4"/>
      <c r="K32" s="4"/>
    </row>
    <row r="33" spans="1:11" ht="15.95" customHeight="1" x14ac:dyDescent="0.25">
      <c r="A33" s="4"/>
      <c r="B33" s="1"/>
      <c r="C33" s="65"/>
      <c r="D33" s="88"/>
      <c r="E33" s="88"/>
      <c r="F33" s="88"/>
      <c r="G33" s="88"/>
      <c r="H33" s="4"/>
      <c r="I33" s="4"/>
      <c r="J33" s="4"/>
      <c r="K33" s="4"/>
    </row>
    <row r="34" spans="1:11" ht="15.95" customHeight="1" x14ac:dyDescent="0.25">
      <c r="A34" s="4"/>
      <c r="B34" s="1" t="s">
        <v>236</v>
      </c>
      <c r="C34" s="65">
        <v>-64351</v>
      </c>
      <c r="D34" s="88"/>
      <c r="E34" s="88"/>
      <c r="F34" s="88"/>
      <c r="G34" s="88"/>
      <c r="H34" s="4"/>
      <c r="I34" s="4"/>
      <c r="J34" s="4"/>
      <c r="K34" s="4"/>
    </row>
    <row r="35" spans="1:11" ht="15.95" customHeight="1" x14ac:dyDescent="0.25">
      <c r="A35" s="4"/>
      <c r="B35" s="1" t="s">
        <v>237</v>
      </c>
      <c r="C35" s="65">
        <v>20477</v>
      </c>
      <c r="D35" s="88"/>
      <c r="E35" s="88"/>
      <c r="F35" s="88"/>
      <c r="G35" s="88"/>
      <c r="H35" s="4"/>
      <c r="I35" s="4"/>
      <c r="J35" s="4"/>
      <c r="K35" s="4"/>
    </row>
    <row r="36" spans="1:11" ht="15.95" customHeight="1" x14ac:dyDescent="0.25">
      <c r="A36" s="4"/>
      <c r="B36" s="53" t="s">
        <v>238</v>
      </c>
      <c r="C36" s="56">
        <f>C32+C34+C35</f>
        <v>341360.8168856136</v>
      </c>
      <c r="D36" s="105"/>
      <c r="E36" s="105"/>
      <c r="F36" s="105"/>
      <c r="G36" s="105"/>
      <c r="H36" s="4"/>
      <c r="I36" s="4"/>
      <c r="J36" s="4"/>
      <c r="K36" s="4"/>
    </row>
    <row r="37" spans="1:11" ht="15.95" customHeight="1" x14ac:dyDescent="0.25">
      <c r="A37" s="4"/>
      <c r="B37" s="1" t="s">
        <v>110</v>
      </c>
      <c r="C37" s="65">
        <f>Assumptions!G37</f>
        <v>5700</v>
      </c>
      <c r="D37" s="88"/>
      <c r="E37" s="88"/>
      <c r="F37" s="88"/>
      <c r="G37" s="88"/>
      <c r="H37" s="4"/>
      <c r="I37" s="4"/>
      <c r="J37" s="4"/>
      <c r="K37" s="4"/>
    </row>
    <row r="38" spans="1:11" ht="15.95" customHeight="1" x14ac:dyDescent="0.25">
      <c r="A38" s="4"/>
      <c r="B38" s="106" t="s">
        <v>239</v>
      </c>
      <c r="C38" s="147">
        <f>C36/C37</f>
        <v>59.88786261151116</v>
      </c>
      <c r="D38" s="105"/>
      <c r="E38" s="105"/>
      <c r="F38" s="105"/>
      <c r="G38" s="105"/>
      <c r="H38" s="4"/>
      <c r="I38" s="4"/>
      <c r="J38" s="4"/>
      <c r="K38" s="4"/>
    </row>
    <row r="39" spans="1:11" ht="15.95" customHeight="1" x14ac:dyDescent="0.25">
      <c r="A39" s="4"/>
      <c r="B39" s="1" t="s">
        <v>43</v>
      </c>
      <c r="C39" s="148">
        <v>26.6</v>
      </c>
      <c r="D39" s="88"/>
      <c r="E39" s="88"/>
      <c r="F39" s="88"/>
      <c r="G39" s="88"/>
      <c r="H39" s="4"/>
      <c r="I39" s="4"/>
      <c r="J39" s="4"/>
      <c r="K39" s="4"/>
    </row>
    <row r="40" spans="1:11" ht="15.95" customHeight="1" x14ac:dyDescent="0.25">
      <c r="A40" s="4"/>
      <c r="B40" s="1" t="s">
        <v>240</v>
      </c>
      <c r="C40" s="52">
        <f>C38/C39-1</f>
        <v>1.2514234064477878</v>
      </c>
      <c r="D40" s="88"/>
      <c r="E40" s="88"/>
      <c r="F40" s="88"/>
      <c r="G40" s="88"/>
      <c r="H40" s="4"/>
      <c r="I40" s="4"/>
      <c r="J40" s="4"/>
      <c r="K40" s="4"/>
    </row>
    <row r="41" spans="1:11" ht="15.95" customHeight="1" x14ac:dyDescent="0.25">
      <c r="A41" s="4"/>
      <c r="B41" s="1"/>
      <c r="C41" s="88"/>
      <c r="D41" s="88"/>
      <c r="E41" s="88"/>
      <c r="F41" s="88"/>
      <c r="G41" s="88"/>
      <c r="H41" s="4"/>
      <c r="I41" s="4"/>
      <c r="J41" s="4"/>
      <c r="K41" s="4"/>
    </row>
    <row r="42" spans="1:11" ht="15.95" customHeight="1" x14ac:dyDescent="0.25">
      <c r="A42" s="4"/>
      <c r="B42" s="1"/>
      <c r="C42" s="88"/>
      <c r="D42" s="88"/>
      <c r="E42" s="88"/>
      <c r="F42" s="88"/>
      <c r="G42" s="88"/>
      <c r="H42" s="4"/>
      <c r="I42" s="4"/>
      <c r="J42" s="4"/>
      <c r="K42" s="4"/>
    </row>
    <row r="43" spans="1:11" ht="15.95" customHeight="1" x14ac:dyDescent="0.25">
      <c r="A43" s="4"/>
      <c r="B43" s="107" t="s">
        <v>241</v>
      </c>
      <c r="C43" s="42"/>
      <c r="D43" s="42"/>
      <c r="E43" s="42"/>
      <c r="F43" s="42"/>
      <c r="G43" s="42"/>
      <c r="H43" s="4"/>
      <c r="I43" s="4"/>
      <c r="J43" s="4"/>
      <c r="K43" s="4"/>
    </row>
    <row r="44" spans="1:11" ht="15.95" customHeight="1" x14ac:dyDescent="0.25">
      <c r="A44" s="4"/>
      <c r="B44" s="1"/>
      <c r="C44" s="108" t="s">
        <v>119</v>
      </c>
      <c r="D44" s="108"/>
      <c r="E44" s="108"/>
      <c r="F44" s="108"/>
      <c r="G44" s="108"/>
      <c r="H44" s="109"/>
      <c r="I44" s="4"/>
      <c r="J44" s="4"/>
      <c r="K44" s="4"/>
    </row>
    <row r="45" spans="1:11" ht="15.95" customHeight="1" x14ac:dyDescent="0.25">
      <c r="A45" s="4"/>
      <c r="B45" s="110" t="s">
        <v>124</v>
      </c>
      <c r="C45" s="111">
        <v>0.01</v>
      </c>
      <c r="D45" s="111">
        <v>1.4999999999999999E-2</v>
      </c>
      <c r="E45" s="111">
        <v>0.02</v>
      </c>
      <c r="F45" s="111">
        <v>2.5000000000000001E-2</v>
      </c>
      <c r="G45" s="111">
        <v>0.03</v>
      </c>
      <c r="H45" s="4"/>
      <c r="I45" s="4"/>
      <c r="J45" s="4"/>
      <c r="K45" s="4"/>
    </row>
    <row r="46" spans="1:11" ht="15.95" customHeight="1" x14ac:dyDescent="0.25">
      <c r="A46" s="4"/>
      <c r="B46" s="112">
        <v>4.3999999999999997E-2</v>
      </c>
      <c r="C46" s="149">
        <f>(C30+G14*(1+C45)/(B46-C45)*G19+C34+C35)/C37</f>
        <v>58.736050030644556</v>
      </c>
      <c r="D46" s="149">
        <f>(C30+G14*(1+D45)/(B46-D45)*G19+C34+C35)/C37</f>
        <v>69.15632552098802</v>
      </c>
      <c r="E46" s="149">
        <f>(C30+G14*(1+E45)/(B46-E45)*G19+C34+C35)/C37</f>
        <v>83.918382465641272</v>
      </c>
      <c r="F46" s="149">
        <f>(C30+G14*(1+F45)/(B46-F45)*G19+C34+C35)/C37</f>
        <v>106.44994306537519</v>
      </c>
      <c r="G46" s="149">
        <f>(C30+G14*(1+G45)/(B46-G45)*G19+C34+C35)/C37</f>
        <v>145.07547552206185</v>
      </c>
      <c r="H46" s="4"/>
      <c r="I46" s="4"/>
      <c r="J46" s="4"/>
      <c r="K46" s="4"/>
    </row>
    <row r="47" spans="1:11" ht="15.95" customHeight="1" x14ac:dyDescent="0.25">
      <c r="A47" s="4"/>
      <c r="B47" s="112">
        <v>4.9000000000000002E-2</v>
      </c>
      <c r="C47" s="149">
        <f>(C30+G14*(1+C45)/(B47-C45)*G19+C34+C35)/C37</f>
        <v>51.239982904400307</v>
      </c>
      <c r="D47" s="149">
        <f>(C30+G14*(1+D45)/(B47-D45)*G19+C34+C35)/C37</f>
        <v>59.025502127598521</v>
      </c>
      <c r="E47" s="149">
        <f>(C30+G14*(1+E45)/(B47-E45)*G19+C34+C35)/C37</f>
        <v>69.495683151899584</v>
      </c>
      <c r="F47" s="149">
        <f>(C30+G14*(1+F45)/(B47-F45)*G19+C34+C35)/C37</f>
        <v>84.328439602992745</v>
      </c>
      <c r="G47" s="149">
        <f>(C30+G14*(1+G45)/(B47-G45)*G19+C34+C35)/C37</f>
        <v>106.96790997571388</v>
      </c>
      <c r="H47" s="4"/>
      <c r="I47" s="4"/>
      <c r="J47" s="4"/>
      <c r="K47" s="4"/>
    </row>
    <row r="48" spans="1:11" ht="15.95" customHeight="1" x14ac:dyDescent="0.25">
      <c r="A48" s="4"/>
      <c r="B48" s="112">
        <v>5.3999999999999999E-2</v>
      </c>
      <c r="C48" s="149">
        <f>(C30+G14*(1+C45)/(B48-C45)*G19+C34+C35)/C37</f>
        <v>45.447567397757055</v>
      </c>
      <c r="D48" s="149">
        <f>(C30+G14*(1+D45)/(B48-D45)*G19+C34+C35)/C37</f>
        <v>51.492325758155062</v>
      </c>
      <c r="E48" s="150">
        <f>(C30+G14*(1+E45)/(B48-E45)*G19+C34+C35)/C37</f>
        <v>59.314954224552515</v>
      </c>
      <c r="F48" s="149">
        <f>(C30+G14*(1+F45)/(B48-F45)*G19+C34+C35)/C37</f>
        <v>69.835040782811163</v>
      </c>
      <c r="G48" s="149">
        <f>(C30+G14*(1+G45)/(B48-G45)*G19+C34+C35)/C37</f>
        <v>84.738496740344232</v>
      </c>
      <c r="H48" s="4"/>
      <c r="I48" s="4"/>
      <c r="J48" s="4"/>
      <c r="K48" s="4"/>
    </row>
    <row r="49" spans="1:11" ht="15.95" customHeight="1" x14ac:dyDescent="0.25">
      <c r="A49" s="4"/>
      <c r="B49" s="112">
        <v>5.8999999999999997E-2</v>
      </c>
      <c r="C49" s="149">
        <f>(C30+G14*(1+C45)/(B49-C45)*G19+C34+C35)/C37</f>
        <v>40.83727750471445</v>
      </c>
      <c r="D49" s="149">
        <f>(C30+G14*(1+D45)/(B49-D45)*G19+C34+C35)/C37</f>
        <v>45.671234927221491</v>
      </c>
      <c r="E49" s="149">
        <f>(C30+G14*(1+E45)/(B49-E45)*G19+C34+C35)/C37</f>
        <v>51.744668611909837</v>
      </c>
      <c r="F49" s="149">
        <f>(C30+G14*(1+F45)/(B49-F45)*G19+C34+C35)/C37</f>
        <v>59.604406321506502</v>
      </c>
      <c r="G49" s="149">
        <f>(C30+G14*(1+G45)/(B49-G45)*G19+C34+C35)/C37</f>
        <v>70.174398413722727</v>
      </c>
      <c r="H49" s="4"/>
      <c r="I49" s="4"/>
      <c r="J49" s="4"/>
      <c r="K49" s="4"/>
    </row>
    <row r="50" spans="1:11" ht="15.95" customHeight="1" x14ac:dyDescent="0.25">
      <c r="A50" s="4"/>
      <c r="B50" s="112">
        <v>6.4000000000000001E-2</v>
      </c>
      <c r="C50" s="149">
        <f>(C30+G14*(1+C45)/(B50-C45)*G19+C34+C35)/C37</f>
        <v>37.080744999272326</v>
      </c>
      <c r="D50" s="149">
        <f>(C30+G14*(1+D45)/(B50-D45)*G19+C34+C35)/C37</f>
        <v>41.038121816886594</v>
      </c>
      <c r="E50" s="149">
        <f>(C30+G14*(1+E45)/(B50-E45)*G19+C34+C35)/C37</f>
        <v>45.894902456685934</v>
      </c>
      <c r="F50" s="149">
        <f>(C30+G14*(1+F45)/(B50-F45)*G19+C34+C35)/C37</f>
        <v>51.997011465664585</v>
      </c>
      <c r="G50" s="149">
        <f>(C30+G14*(1+G45)/(B50-G45)*G19+C34+C35)/C37</f>
        <v>59.893858418460482</v>
      </c>
      <c r="H50" s="4"/>
      <c r="I50" s="4"/>
      <c r="J50" s="4"/>
      <c r="K5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</sheetPr>
  <dimension ref="A1:L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B14" sqref="B14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12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.95" customHeight="1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95" customHeight="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95" customHeight="1" x14ac:dyDescent="0.25">
      <c r="A4" s="4"/>
      <c r="B4" s="1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5.95" customHeight="1" x14ac:dyDescent="0.25">
      <c r="A5" s="4"/>
      <c r="B5" s="5" t="s">
        <v>2</v>
      </c>
      <c r="C5" s="16" t="s">
        <v>3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6" t="s">
        <v>12</v>
      </c>
    </row>
    <row r="6" spans="1:12" ht="15.95" customHeight="1" x14ac:dyDescent="0.25">
      <c r="A6" s="4"/>
      <c r="B6" s="1" t="s">
        <v>13</v>
      </c>
      <c r="C6" s="4" t="s">
        <v>14</v>
      </c>
      <c r="D6" s="113">
        <v>406.9</v>
      </c>
      <c r="E6" s="113">
        <v>462</v>
      </c>
      <c r="F6" s="113">
        <v>56.3</v>
      </c>
      <c r="G6" s="113">
        <v>29.5</v>
      </c>
      <c r="H6" s="114">
        <v>8.1999999999999993</v>
      </c>
      <c r="I6" s="114">
        <v>15.65</v>
      </c>
      <c r="J6" s="114">
        <v>15.87</v>
      </c>
      <c r="K6" s="8">
        <v>0.52400000000000002</v>
      </c>
      <c r="L6" s="8">
        <v>0.03</v>
      </c>
    </row>
    <row r="7" spans="1:12" ht="15.95" customHeight="1" x14ac:dyDescent="0.25">
      <c r="A7" s="4"/>
      <c r="B7" s="1" t="s">
        <v>15</v>
      </c>
      <c r="C7" s="4" t="s">
        <v>16</v>
      </c>
      <c r="D7" s="113">
        <v>274.3</v>
      </c>
      <c r="E7" s="113">
        <v>297.5</v>
      </c>
      <c r="F7" s="113">
        <v>65</v>
      </c>
      <c r="G7" s="113">
        <v>24.4</v>
      </c>
      <c r="H7" s="114">
        <v>4.5999999999999996</v>
      </c>
      <c r="I7" s="114">
        <v>12.2</v>
      </c>
      <c r="J7" s="114">
        <v>14.27</v>
      </c>
      <c r="K7" s="8">
        <v>0.375</v>
      </c>
      <c r="L7" s="8">
        <v>2.8000000000000001E-2</v>
      </c>
    </row>
    <row r="8" spans="1:12" ht="15.95" customHeight="1" x14ac:dyDescent="0.25">
      <c r="A8" s="4"/>
      <c r="B8" s="1" t="s">
        <v>17</v>
      </c>
      <c r="C8" s="4" t="s">
        <v>18</v>
      </c>
      <c r="D8" s="113">
        <v>113.8</v>
      </c>
      <c r="E8" s="113">
        <v>147</v>
      </c>
      <c r="F8" s="113">
        <v>48</v>
      </c>
      <c r="G8" s="113">
        <v>21.3</v>
      </c>
      <c r="H8" s="114">
        <v>3.1</v>
      </c>
      <c r="I8" s="114">
        <v>6.9</v>
      </c>
      <c r="J8" s="114">
        <v>9.75</v>
      </c>
      <c r="K8" s="8">
        <v>0.44400000000000001</v>
      </c>
      <c r="L8" s="8">
        <v>4.1500000000000002E-2</v>
      </c>
    </row>
    <row r="9" spans="1:12" ht="15.95" customHeight="1" x14ac:dyDescent="0.25">
      <c r="A9" s="4"/>
      <c r="B9" s="1" t="s">
        <v>19</v>
      </c>
      <c r="C9" s="4" t="s">
        <v>20</v>
      </c>
      <c r="D9" s="113">
        <v>886.4</v>
      </c>
      <c r="E9" s="113">
        <v>950.1</v>
      </c>
      <c r="F9" s="113">
        <v>65.2</v>
      </c>
      <c r="G9" s="113">
        <v>28.4</v>
      </c>
      <c r="H9" s="114">
        <v>14.6</v>
      </c>
      <c r="I9" s="114">
        <v>33.5</v>
      </c>
      <c r="J9" s="114">
        <v>29.9</v>
      </c>
      <c r="K9" s="8">
        <v>0.436</v>
      </c>
      <c r="L9" s="8">
        <v>6.7999999999999996E-3</v>
      </c>
    </row>
    <row r="10" spans="1:12" ht="15.95" customHeight="1" x14ac:dyDescent="0.25">
      <c r="A10" s="4"/>
      <c r="B10" s="1" t="s">
        <v>21</v>
      </c>
      <c r="C10" s="4" t="s">
        <v>22</v>
      </c>
      <c r="D10" s="113">
        <v>579.29999999999995</v>
      </c>
      <c r="E10" s="113">
        <v>615.6</v>
      </c>
      <c r="F10" s="113">
        <v>92.1</v>
      </c>
      <c r="G10" s="113">
        <v>33.1</v>
      </c>
      <c r="H10" s="114">
        <v>6.7</v>
      </c>
      <c r="I10" s="114">
        <v>18.600000000000001</v>
      </c>
      <c r="J10" s="114">
        <v>21.1</v>
      </c>
      <c r="K10" s="8">
        <v>0.35899999999999999</v>
      </c>
      <c r="L10" s="8">
        <v>2.1600000000000001E-2</v>
      </c>
    </row>
    <row r="11" spans="1:12" ht="15.95" customHeight="1" x14ac:dyDescent="0.25">
      <c r="A11" s="4"/>
      <c r="B11" s="1" t="s">
        <v>23</v>
      </c>
      <c r="C11" s="4" t="s">
        <v>24</v>
      </c>
      <c r="D11" s="113">
        <v>307.7</v>
      </c>
      <c r="E11" s="113">
        <v>343.9</v>
      </c>
      <c r="F11" s="113">
        <v>58.7</v>
      </c>
      <c r="G11" s="113">
        <v>11.7</v>
      </c>
      <c r="H11" s="114">
        <v>5.9</v>
      </c>
      <c r="I11" s="114">
        <f>E11/G11</f>
        <v>29.393162393162392</v>
      </c>
      <c r="J11" s="114">
        <v>22</v>
      </c>
      <c r="K11" s="8">
        <f>G11/F11</f>
        <v>0.19931856899488926</v>
      </c>
      <c r="L11" s="8">
        <v>1.9E-2</v>
      </c>
    </row>
    <row r="12" spans="1:12" ht="15.95" customHeight="1" x14ac:dyDescent="0.25">
      <c r="A12" s="4"/>
      <c r="B12" s="1"/>
      <c r="C12" s="4"/>
      <c r="D12" s="113"/>
      <c r="E12" s="113"/>
      <c r="F12" s="113"/>
      <c r="G12" s="113"/>
      <c r="H12" s="114"/>
      <c r="I12" s="114"/>
      <c r="J12" s="114"/>
      <c r="K12" s="8"/>
      <c r="L12" s="8"/>
    </row>
    <row r="13" spans="1:12" ht="15.95" customHeight="1" x14ac:dyDescent="0.25">
      <c r="A13" s="4"/>
      <c r="B13" s="96" t="s">
        <v>25</v>
      </c>
      <c r="C13" s="115"/>
      <c r="D13" s="116">
        <f t="shared" ref="D13:L13" si="0">AVERAGE(D6:D11)</f>
        <v>428.06666666666661</v>
      </c>
      <c r="E13" s="116">
        <f t="shared" si="0"/>
        <v>469.34999999999997</v>
      </c>
      <c r="F13" s="116">
        <f t="shared" si="0"/>
        <v>64.216666666666669</v>
      </c>
      <c r="G13" s="116">
        <f t="shared" si="0"/>
        <v>24.733333333333331</v>
      </c>
      <c r="H13" s="117">
        <f t="shared" si="0"/>
        <v>7.1833333333333336</v>
      </c>
      <c r="I13" s="117">
        <f t="shared" si="0"/>
        <v>19.373860398860398</v>
      </c>
      <c r="J13" s="117">
        <f t="shared" si="0"/>
        <v>18.814999999999998</v>
      </c>
      <c r="K13" s="118">
        <f t="shared" si="0"/>
        <v>0.38955309483248152</v>
      </c>
      <c r="L13" s="118">
        <f t="shared" si="0"/>
        <v>2.4483333333333333E-2</v>
      </c>
    </row>
    <row r="14" spans="1:12" ht="15.95" customHeight="1" x14ac:dyDescent="0.25">
      <c r="A14" s="4"/>
      <c r="B14" s="96" t="s">
        <v>26</v>
      </c>
      <c r="C14" s="115"/>
      <c r="D14" s="116">
        <f t="shared" ref="D14:L14" si="1">MEDIAN(D6:D11)</f>
        <v>357.29999999999995</v>
      </c>
      <c r="E14" s="116">
        <f t="shared" si="1"/>
        <v>402.95</v>
      </c>
      <c r="F14" s="116">
        <f t="shared" si="1"/>
        <v>61.85</v>
      </c>
      <c r="G14" s="116">
        <f t="shared" si="1"/>
        <v>26.4</v>
      </c>
      <c r="H14" s="117">
        <f t="shared" si="1"/>
        <v>6.3000000000000007</v>
      </c>
      <c r="I14" s="117">
        <f t="shared" si="1"/>
        <v>17.125</v>
      </c>
      <c r="J14" s="117">
        <f t="shared" si="1"/>
        <v>18.484999999999999</v>
      </c>
      <c r="K14" s="118">
        <f t="shared" si="1"/>
        <v>0.40549999999999997</v>
      </c>
      <c r="L14" s="118">
        <f t="shared" si="1"/>
        <v>2.4800000000000003E-2</v>
      </c>
    </row>
    <row r="15" spans="1:12" ht="15.95" customHeight="1" x14ac:dyDescent="0.25">
      <c r="A15" s="4"/>
      <c r="B15" s="106" t="s">
        <v>27</v>
      </c>
      <c r="C15" s="119" t="s">
        <v>28</v>
      </c>
      <c r="D15" s="120">
        <v>152.4</v>
      </c>
      <c r="E15" s="120">
        <v>196.8</v>
      </c>
      <c r="F15" s="120">
        <v>63.6</v>
      </c>
      <c r="G15" s="120">
        <v>20.2</v>
      </c>
      <c r="H15" s="121">
        <f>E15/F15</f>
        <v>3.0943396226415096</v>
      </c>
      <c r="I15" s="121">
        <f>E15/G15</f>
        <v>9.7425742574257441</v>
      </c>
      <c r="J15" s="121">
        <v>18.899999999999999</v>
      </c>
      <c r="K15" s="122">
        <f>G15/F15</f>
        <v>0.31761006289308175</v>
      </c>
      <c r="L15" s="122">
        <v>6.3E-2</v>
      </c>
    </row>
    <row r="16" spans="1:12" ht="15.95" customHeight="1" x14ac:dyDescent="0.25">
      <c r="A16" s="4"/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.95" customHeight="1" x14ac:dyDescent="0.25">
      <c r="A17" s="4"/>
      <c r="B17" s="123" t="s">
        <v>29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</row>
    <row r="18" spans="1:12" ht="15.95" customHeight="1" x14ac:dyDescent="0.25">
      <c r="A18" s="4"/>
      <c r="B18" s="1" t="s">
        <v>30</v>
      </c>
      <c r="C18" s="136">
        <f>I14*G15</f>
        <v>345.92500000000001</v>
      </c>
      <c r="D18" s="4"/>
      <c r="E18" s="4"/>
      <c r="F18" s="4"/>
      <c r="G18" s="4"/>
      <c r="H18" s="4"/>
      <c r="I18" s="4"/>
      <c r="J18" s="4"/>
      <c r="K18" s="4"/>
      <c r="L18" s="4"/>
    </row>
    <row r="19" spans="1:12" ht="15.95" customHeight="1" x14ac:dyDescent="0.25">
      <c r="A19" s="4"/>
      <c r="B19" s="1" t="s">
        <v>31</v>
      </c>
      <c r="C19" s="113">
        <v>-43.9</v>
      </c>
      <c r="D19" s="4"/>
      <c r="E19" s="4"/>
      <c r="F19" s="4"/>
      <c r="G19" s="4"/>
      <c r="H19" s="4"/>
      <c r="I19" s="4"/>
      <c r="J19" s="4"/>
      <c r="K19" s="4"/>
      <c r="L19" s="4"/>
    </row>
    <row r="20" spans="1:12" ht="15.95" customHeight="1" x14ac:dyDescent="0.25">
      <c r="A20" s="4"/>
      <c r="B20" s="1" t="s">
        <v>32</v>
      </c>
      <c r="C20" s="136">
        <f>C18+C19</f>
        <v>302.02500000000003</v>
      </c>
      <c r="D20" s="4"/>
      <c r="E20" s="4"/>
      <c r="F20" s="4"/>
      <c r="G20" s="4"/>
      <c r="H20" s="4"/>
      <c r="I20" s="4"/>
      <c r="J20" s="4"/>
      <c r="K20" s="4"/>
      <c r="L20" s="4"/>
    </row>
    <row r="21" spans="1:12" ht="15.95" customHeight="1" x14ac:dyDescent="0.25">
      <c r="A21" s="4"/>
      <c r="B21" s="1" t="s">
        <v>33</v>
      </c>
      <c r="C21" s="7">
        <v>5.7</v>
      </c>
      <c r="D21" s="4"/>
      <c r="E21" s="4"/>
      <c r="F21" s="4"/>
      <c r="G21" s="4"/>
      <c r="H21" s="4"/>
      <c r="I21" s="4"/>
      <c r="J21" s="4"/>
      <c r="K21" s="4"/>
      <c r="L21" s="4"/>
    </row>
    <row r="22" spans="1:12" ht="15.95" customHeight="1" x14ac:dyDescent="0.25">
      <c r="A22" s="4"/>
      <c r="B22" s="53" t="s">
        <v>34</v>
      </c>
      <c r="C22" s="151">
        <f>C20/C21</f>
        <v>52.986842105263165</v>
      </c>
      <c r="D22" s="4"/>
      <c r="E22" s="4"/>
      <c r="F22" s="4"/>
      <c r="G22" s="4"/>
      <c r="H22" s="4"/>
      <c r="I22" s="4"/>
      <c r="J22" s="4"/>
      <c r="K22" s="4"/>
      <c r="L22" s="4"/>
    </row>
    <row r="23" spans="1:12" ht="15.95" customHeight="1" x14ac:dyDescent="0.25">
      <c r="A23" s="4"/>
      <c r="B23" s="1"/>
      <c r="C23" s="136"/>
      <c r="D23" s="4"/>
      <c r="E23" s="4"/>
      <c r="F23" s="4"/>
      <c r="G23" s="4"/>
      <c r="H23" s="4"/>
      <c r="I23" s="4"/>
      <c r="J23" s="4"/>
      <c r="K23" s="4"/>
      <c r="L23" s="4"/>
    </row>
    <row r="24" spans="1:12" ht="15.95" customHeight="1" x14ac:dyDescent="0.25">
      <c r="A24" s="4"/>
      <c r="B24" s="53" t="s">
        <v>35</v>
      </c>
      <c r="C24" s="151">
        <f>J14*'Income Statement'!G28</f>
        <v>20.655132270811404</v>
      </c>
      <c r="D24" s="4"/>
      <c r="E24" s="4"/>
      <c r="F24" s="4"/>
      <c r="G24" s="4"/>
      <c r="H24" s="4"/>
      <c r="I24" s="4"/>
      <c r="J24" s="4"/>
      <c r="K24" s="4"/>
      <c r="L2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H32"/>
  <sheetViews>
    <sheetView showGridLines="0" topLeftCell="C6" workbookViewId="0">
      <pane xSplit="2" ySplit="5" topLeftCell="E11" activePane="bottomRight" state="frozen"/>
      <selection pane="topRight" activeCell="D6" sqref="D6"/>
      <selection pane="bottomLeft" activeCell="C7" sqref="C7"/>
      <selection pane="bottomRight" activeCell="G31" sqref="G31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8" ht="15.95" customHeight="1" x14ac:dyDescent="0.25">
      <c r="A1" s="1"/>
      <c r="B1" s="1"/>
      <c r="C1" s="1"/>
      <c r="D1" s="1"/>
      <c r="E1" s="1"/>
      <c r="F1" s="1"/>
      <c r="G1" s="1"/>
      <c r="H1" s="1"/>
    </row>
    <row r="2" spans="1:8" ht="21.95" customHeight="1" x14ac:dyDescent="0.25">
      <c r="A2" s="1"/>
      <c r="B2" s="2" t="s">
        <v>242</v>
      </c>
      <c r="C2" s="1"/>
      <c r="D2" s="1"/>
      <c r="E2" s="1"/>
      <c r="F2" s="1"/>
      <c r="G2" s="1"/>
      <c r="H2" s="1"/>
    </row>
    <row r="3" spans="1:8" ht="15.95" customHeight="1" x14ac:dyDescent="0.25">
      <c r="A3" s="1"/>
      <c r="B3" s="3" t="s">
        <v>126</v>
      </c>
      <c r="C3" s="1"/>
      <c r="D3" s="1"/>
      <c r="E3" s="1"/>
      <c r="F3" s="1"/>
      <c r="G3" s="1"/>
      <c r="H3" s="1"/>
    </row>
    <row r="4" spans="1:8" ht="15.95" customHeight="1" x14ac:dyDescent="0.25">
      <c r="A4" s="4"/>
      <c r="B4" s="1"/>
      <c r="C4" s="4"/>
      <c r="D4" s="4"/>
      <c r="E4" s="4"/>
      <c r="F4" s="4"/>
      <c r="G4" s="4"/>
      <c r="H4" s="4"/>
    </row>
    <row r="5" spans="1:8" ht="15.95" customHeight="1" x14ac:dyDescent="0.25">
      <c r="A5" s="4"/>
      <c r="B5" s="5"/>
      <c r="C5" s="16" t="s">
        <v>243</v>
      </c>
      <c r="D5" s="16" t="s">
        <v>244</v>
      </c>
      <c r="E5" s="16" t="s">
        <v>80</v>
      </c>
      <c r="F5" s="16" t="s">
        <v>81</v>
      </c>
      <c r="G5" s="16" t="s">
        <v>82</v>
      </c>
      <c r="H5" s="16" t="s">
        <v>49</v>
      </c>
    </row>
    <row r="6" spans="1:8" ht="15.95" customHeight="1" x14ac:dyDescent="0.25">
      <c r="A6" s="4"/>
      <c r="B6" s="1" t="s">
        <v>86</v>
      </c>
      <c r="C6" s="11">
        <v>41172</v>
      </c>
      <c r="D6" s="11">
        <v>41908</v>
      </c>
      <c r="E6" s="11">
        <v>81288</v>
      </c>
      <c r="F6" s="11">
        <v>100330</v>
      </c>
      <c r="G6" s="11">
        <v>59553</v>
      </c>
      <c r="H6" s="11">
        <v>63627</v>
      </c>
    </row>
    <row r="7" spans="1:8" ht="15.95" customHeight="1" x14ac:dyDescent="0.25">
      <c r="A7" s="4"/>
      <c r="B7" s="1" t="s">
        <v>245</v>
      </c>
      <c r="C7" s="11">
        <v>-8251</v>
      </c>
      <c r="D7" s="11">
        <v>-8692</v>
      </c>
      <c r="E7" s="11">
        <v>-30483</v>
      </c>
      <c r="F7" s="11">
        <v>-34344</v>
      </c>
      <c r="G7" s="11">
        <v>-24954</v>
      </c>
      <c r="H7" s="11">
        <v>-17851</v>
      </c>
    </row>
    <row r="8" spans="1:8" ht="15.95" customHeight="1" x14ac:dyDescent="0.25">
      <c r="A8" s="4"/>
      <c r="B8" s="9" t="s">
        <v>129</v>
      </c>
      <c r="C8" s="125">
        <v>32921</v>
      </c>
      <c r="D8" s="125">
        <v>33216</v>
      </c>
      <c r="E8" s="125">
        <v>50467</v>
      </c>
      <c r="F8" s="125">
        <v>65986</v>
      </c>
      <c r="G8" s="125">
        <v>34599</v>
      </c>
      <c r="H8" s="125">
        <v>45776</v>
      </c>
    </row>
    <row r="9" spans="1:8" ht="15.95" customHeight="1" x14ac:dyDescent="0.25">
      <c r="A9" s="4"/>
      <c r="B9" s="1"/>
      <c r="C9" s="11"/>
      <c r="D9" s="11"/>
      <c r="E9" s="11"/>
      <c r="F9" s="11"/>
      <c r="G9" s="11"/>
      <c r="H9" s="11"/>
    </row>
    <row r="10" spans="1:8" ht="15.95" customHeight="1" x14ac:dyDescent="0.25">
      <c r="A10" s="4"/>
      <c r="B10" s="1" t="s">
        <v>246</v>
      </c>
      <c r="C10" s="11">
        <v>-12750</v>
      </c>
      <c r="D10" s="11">
        <v>-11614</v>
      </c>
      <c r="E10" s="11">
        <v>-12703</v>
      </c>
      <c r="F10" s="11">
        <v>-13554</v>
      </c>
      <c r="G10" s="11">
        <v>-13476</v>
      </c>
      <c r="H10" s="11">
        <v>-14730</v>
      </c>
    </row>
    <row r="11" spans="1:8" ht="15.95" customHeight="1" x14ac:dyDescent="0.25">
      <c r="A11" s="4"/>
      <c r="B11" s="1" t="s">
        <v>247</v>
      </c>
      <c r="C11" s="11">
        <v>-8394</v>
      </c>
      <c r="D11" s="11">
        <v>-9405</v>
      </c>
      <c r="E11" s="11">
        <v>-10361</v>
      </c>
      <c r="F11" s="11">
        <v>-11428</v>
      </c>
      <c r="G11" s="11">
        <v>-11603</v>
      </c>
      <c r="H11" s="11">
        <v>-10822</v>
      </c>
    </row>
    <row r="12" spans="1:8" ht="15.95" customHeight="1" x14ac:dyDescent="0.25">
      <c r="A12" s="4"/>
      <c r="B12" s="1" t="s">
        <v>248</v>
      </c>
      <c r="C12" s="11"/>
      <c r="D12" s="11"/>
      <c r="E12" s="11">
        <v>-2627</v>
      </c>
      <c r="F12" s="11">
        <v>-981</v>
      </c>
      <c r="G12" s="11">
        <v>-194</v>
      </c>
      <c r="H12" s="11">
        <v>-108</v>
      </c>
    </row>
    <row r="13" spans="1:8" ht="15.95" customHeight="1" x14ac:dyDescent="0.25">
      <c r="A13" s="4"/>
      <c r="B13" s="1" t="s">
        <v>95</v>
      </c>
      <c r="C13" s="11">
        <v>-4462</v>
      </c>
      <c r="D13" s="11">
        <v>-4370</v>
      </c>
      <c r="E13" s="11">
        <v>-3700</v>
      </c>
      <c r="F13" s="11">
        <v>-3609</v>
      </c>
      <c r="G13" s="11">
        <v>-4751</v>
      </c>
      <c r="H13" s="11">
        <v>-5286</v>
      </c>
    </row>
    <row r="14" spans="1:8" ht="15.95" customHeight="1" x14ac:dyDescent="0.25">
      <c r="A14" s="4"/>
      <c r="B14" s="1" t="s">
        <v>249</v>
      </c>
      <c r="C14" s="11">
        <v>-601</v>
      </c>
      <c r="D14" s="11">
        <v>-805</v>
      </c>
      <c r="E14" s="11">
        <v>-417</v>
      </c>
      <c r="F14" s="11">
        <v>-486</v>
      </c>
      <c r="G14" s="11">
        <v>-3610</v>
      </c>
      <c r="H14" s="11">
        <v>-2419</v>
      </c>
    </row>
    <row r="15" spans="1:8" ht="15.95" customHeight="1" x14ac:dyDescent="0.25">
      <c r="A15" s="4"/>
      <c r="B15" s="1" t="s">
        <v>250</v>
      </c>
      <c r="C15" s="11">
        <v>8086</v>
      </c>
      <c r="D15" s="11"/>
      <c r="E15" s="11"/>
      <c r="F15" s="11"/>
      <c r="G15" s="11"/>
      <c r="H15" s="11"/>
    </row>
    <row r="16" spans="1:8" ht="15.95" customHeight="1" x14ac:dyDescent="0.25">
      <c r="A16" s="4"/>
      <c r="B16" s="1" t="s">
        <v>251</v>
      </c>
      <c r="C16" s="11">
        <v>-3314</v>
      </c>
      <c r="D16" s="11">
        <v>-1135</v>
      </c>
      <c r="E16" s="11">
        <v>-1437</v>
      </c>
      <c r="F16" s="11">
        <v>-2059</v>
      </c>
      <c r="G16" s="11">
        <v>3225</v>
      </c>
      <c r="H16" s="11">
        <v>-4388</v>
      </c>
    </row>
    <row r="17" spans="1:8" ht="15.95" customHeight="1" x14ac:dyDescent="0.25">
      <c r="A17" s="4"/>
      <c r="B17" s="9" t="s">
        <v>252</v>
      </c>
      <c r="C17" s="125">
        <v>11485</v>
      </c>
      <c r="D17" s="125">
        <v>5285</v>
      </c>
      <c r="E17" s="125">
        <v>29222</v>
      </c>
      <c r="F17" s="125">
        <v>43869</v>
      </c>
      <c r="G17" s="125">
        <v>4190</v>
      </c>
      <c r="H17" s="125">
        <v>8023</v>
      </c>
    </row>
    <row r="18" spans="1:8" ht="15.95" customHeight="1" x14ac:dyDescent="0.25">
      <c r="A18" s="4"/>
      <c r="B18" s="1" t="s">
        <v>253</v>
      </c>
      <c r="C18" s="4">
        <v>-618</v>
      </c>
      <c r="D18" s="4">
        <v>-1608</v>
      </c>
      <c r="E18" s="4">
        <v>-1852</v>
      </c>
      <c r="F18" s="4">
        <v>-3737</v>
      </c>
      <c r="G18" s="4">
        <v>2027</v>
      </c>
      <c r="H18" s="4">
        <v>28</v>
      </c>
    </row>
    <row r="19" spans="1:8" ht="15.95" customHeight="1" x14ac:dyDescent="0.25">
      <c r="A19" s="4"/>
      <c r="B19" s="1" t="s">
        <v>98</v>
      </c>
      <c r="C19" s="8">
        <v>5.3999999999999999E-2</v>
      </c>
      <c r="D19" s="8">
        <v>0.30399999999999999</v>
      </c>
      <c r="E19" s="8">
        <v>6.3E-2</v>
      </c>
      <c r="F19" s="8">
        <v>8.5000000000000006E-2</v>
      </c>
      <c r="G19" s="8">
        <v>-0.48399999999999999</v>
      </c>
      <c r="H19" s="8">
        <v>-4.0000000000000001E-3</v>
      </c>
    </row>
    <row r="20" spans="1:8" ht="15.95" customHeight="1" x14ac:dyDescent="0.25">
      <c r="A20" s="4"/>
      <c r="B20" s="96" t="s">
        <v>254</v>
      </c>
      <c r="C20" s="126">
        <v>10738</v>
      </c>
      <c r="D20" s="126">
        <v>3658</v>
      </c>
      <c r="E20" s="126">
        <v>21979</v>
      </c>
      <c r="F20" s="126">
        <v>31372</v>
      </c>
      <c r="G20" s="126">
        <v>2119</v>
      </c>
      <c r="H20" s="126">
        <v>8051</v>
      </c>
    </row>
    <row r="21" spans="1:8" ht="15.95" customHeight="1" x14ac:dyDescent="0.25">
      <c r="A21" s="4"/>
      <c r="B21" s="1" t="s">
        <v>255</v>
      </c>
      <c r="C21" s="11">
        <v>5318</v>
      </c>
      <c r="D21" s="11">
        <v>5805</v>
      </c>
      <c r="E21" s="11"/>
      <c r="F21" s="11"/>
      <c r="G21" s="11"/>
      <c r="H21" s="11">
        <v>11</v>
      </c>
    </row>
    <row r="22" spans="1:8" ht="15.95" customHeight="1" thickBot="1" x14ac:dyDescent="0.3">
      <c r="A22" s="4"/>
      <c r="B22" s="127" t="s">
        <v>256</v>
      </c>
      <c r="C22" s="128">
        <v>16273</v>
      </c>
      <c r="D22" s="128">
        <v>9616</v>
      </c>
      <c r="E22" s="128">
        <v>21979</v>
      </c>
      <c r="F22" s="128">
        <v>31372</v>
      </c>
      <c r="G22" s="128">
        <v>2119</v>
      </c>
      <c r="H22" s="128">
        <v>8031</v>
      </c>
    </row>
    <row r="23" spans="1:8" ht="15.95" customHeight="1" thickTop="1" x14ac:dyDescent="0.25">
      <c r="A23" s="4"/>
      <c r="B23" s="1"/>
      <c r="C23" s="4"/>
      <c r="D23" s="4"/>
      <c r="E23" s="4"/>
      <c r="F23" s="4"/>
      <c r="G23" s="4"/>
      <c r="H23" s="4"/>
    </row>
    <row r="24" spans="1:8" ht="15.95" customHeight="1" x14ac:dyDescent="0.25">
      <c r="A24" s="4"/>
      <c r="B24" s="1" t="s">
        <v>56</v>
      </c>
      <c r="C24" s="129">
        <v>2.87</v>
      </c>
      <c r="D24" s="129">
        <v>1.71</v>
      </c>
      <c r="E24" s="129">
        <v>3.85</v>
      </c>
      <c r="F24" s="129">
        <v>5.47</v>
      </c>
      <c r="G24" s="129">
        <v>0.37</v>
      </c>
      <c r="H24" s="129">
        <v>1.41</v>
      </c>
    </row>
    <row r="25" spans="1:8" ht="15.95" customHeight="1" x14ac:dyDescent="0.25">
      <c r="A25" s="4"/>
      <c r="B25" s="53" t="s">
        <v>110</v>
      </c>
      <c r="C25" s="130">
        <v>5675</v>
      </c>
      <c r="D25" s="130">
        <v>5632</v>
      </c>
      <c r="E25" s="130">
        <v>5708</v>
      </c>
      <c r="F25" s="130">
        <v>5733</v>
      </c>
      <c r="G25" s="130">
        <v>5709</v>
      </c>
      <c r="H25" s="130">
        <v>5700</v>
      </c>
    </row>
    <row r="26" spans="1:8" ht="15.95" customHeight="1" x14ac:dyDescent="0.25">
      <c r="A26" s="4"/>
      <c r="B26" s="1"/>
      <c r="C26" s="4"/>
      <c r="D26" s="4"/>
      <c r="E26" s="4"/>
      <c r="F26" s="4"/>
      <c r="G26" s="4"/>
      <c r="H26" s="4"/>
    </row>
    <row r="27" spans="1:8" ht="15.95" customHeight="1" x14ac:dyDescent="0.25">
      <c r="A27" s="4"/>
      <c r="B27" s="1" t="s">
        <v>257</v>
      </c>
      <c r="C27" s="8">
        <f t="shared" ref="C27:H27" si="0">C8/C6</f>
        <v>0.79959681336830857</v>
      </c>
      <c r="D27" s="8">
        <f t="shared" si="0"/>
        <v>0.79259329960866665</v>
      </c>
      <c r="E27" s="8">
        <f t="shared" si="0"/>
        <v>0.62084194469048326</v>
      </c>
      <c r="F27" s="8">
        <f t="shared" si="0"/>
        <v>0.65768962424000799</v>
      </c>
      <c r="G27" s="8">
        <f t="shared" si="0"/>
        <v>0.58097828824744346</v>
      </c>
      <c r="H27" s="8">
        <f t="shared" si="0"/>
        <v>0.71944300375626702</v>
      </c>
    </row>
    <row r="28" spans="1:8" ht="15.95" customHeight="1" x14ac:dyDescent="0.25">
      <c r="A28" s="4"/>
      <c r="B28" s="1" t="s">
        <v>134</v>
      </c>
      <c r="C28" s="11">
        <f t="shared" ref="C28:H28" si="1">C6+C7+C10+C11</f>
        <v>11777</v>
      </c>
      <c r="D28" s="11">
        <f t="shared" si="1"/>
        <v>12197</v>
      </c>
      <c r="E28" s="11">
        <f t="shared" si="1"/>
        <v>27741</v>
      </c>
      <c r="F28" s="11">
        <f t="shared" si="1"/>
        <v>41004</v>
      </c>
      <c r="G28" s="11">
        <f t="shared" si="1"/>
        <v>9520</v>
      </c>
      <c r="H28" s="11">
        <f t="shared" si="1"/>
        <v>20224</v>
      </c>
    </row>
    <row r="29" spans="1:8" ht="15.95" customHeight="1" x14ac:dyDescent="0.25">
      <c r="A29" s="4"/>
      <c r="B29" s="1" t="s">
        <v>11</v>
      </c>
      <c r="C29" s="8">
        <f t="shared" ref="C29:H29" si="2">C28/C6</f>
        <v>0.28604391333916251</v>
      </c>
      <c r="D29" s="8">
        <f t="shared" si="2"/>
        <v>0.2910422830963062</v>
      </c>
      <c r="E29" s="8">
        <f t="shared" si="2"/>
        <v>0.34126808385001478</v>
      </c>
      <c r="F29" s="8">
        <f t="shared" si="2"/>
        <v>0.40869131864846009</v>
      </c>
      <c r="G29" s="8">
        <f t="shared" si="2"/>
        <v>0.15985760583010092</v>
      </c>
      <c r="H29" s="8">
        <f t="shared" si="2"/>
        <v>0.31785248400836125</v>
      </c>
    </row>
    <row r="30" spans="1:8" ht="15.95" customHeight="1" x14ac:dyDescent="0.25">
      <c r="A30" s="4"/>
      <c r="B30" s="1"/>
      <c r="C30" s="4"/>
      <c r="D30" s="4"/>
      <c r="E30" s="4"/>
      <c r="F30" s="4"/>
      <c r="G30" s="4"/>
      <c r="H30" s="4"/>
    </row>
    <row r="31" spans="1:8" ht="15.95" customHeight="1" x14ac:dyDescent="0.25">
      <c r="A31" s="4"/>
      <c r="B31" s="1"/>
      <c r="C31" s="4"/>
      <c r="D31" s="4"/>
      <c r="E31" s="4"/>
      <c r="F31" s="4"/>
      <c r="G31" s="4"/>
      <c r="H31" s="4"/>
    </row>
    <row r="32" spans="1:8" ht="15.95" customHeight="1" x14ac:dyDescent="0.25">
      <c r="A32" s="4"/>
      <c r="B32" s="1"/>
      <c r="C32" s="4"/>
      <c r="D32" s="4"/>
      <c r="E32" s="4"/>
      <c r="F32" s="4"/>
      <c r="G32" s="4"/>
      <c r="H3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H32"/>
  <sheetViews>
    <sheetView showGridLines="0" topLeftCell="C6" workbookViewId="0">
      <pane xSplit="2" ySplit="5" topLeftCell="C6" activePane="bottomRight" state="frozen"/>
      <selection pane="topRight" activeCell="D6" sqref="D6"/>
      <selection pane="bottomLeft" activeCell="C7" sqref="C7"/>
      <selection pane="bottomRight" activeCell="E6" sqref="E6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8" ht="15.95" customHeight="1" x14ac:dyDescent="0.25">
      <c r="A1" s="1"/>
      <c r="B1" s="1"/>
      <c r="C1" s="1"/>
      <c r="D1" s="1"/>
      <c r="E1" s="1"/>
      <c r="F1" s="1"/>
      <c r="G1" s="1"/>
      <c r="H1" s="1"/>
    </row>
    <row r="2" spans="1:8" ht="21.95" customHeight="1" x14ac:dyDescent="0.25">
      <c r="A2" s="1"/>
      <c r="B2" s="2" t="s">
        <v>258</v>
      </c>
      <c r="C2" s="1"/>
      <c r="D2" s="1"/>
      <c r="E2" s="1"/>
      <c r="F2" s="1"/>
      <c r="G2" s="1"/>
      <c r="H2" s="1"/>
    </row>
    <row r="3" spans="1:8" ht="15.95" customHeight="1" x14ac:dyDescent="0.25">
      <c r="A3" s="1"/>
      <c r="B3" s="3" t="s">
        <v>149</v>
      </c>
      <c r="C3" s="1"/>
      <c r="D3" s="1"/>
      <c r="E3" s="1"/>
      <c r="F3" s="1"/>
      <c r="G3" s="1"/>
      <c r="H3" s="1"/>
    </row>
    <row r="4" spans="1:8" ht="15.95" customHeight="1" x14ac:dyDescent="0.25">
      <c r="A4" s="4"/>
      <c r="B4" s="1"/>
      <c r="C4" s="4"/>
      <c r="D4" s="4"/>
      <c r="E4" s="4"/>
      <c r="F4" s="4"/>
      <c r="G4" s="4"/>
      <c r="H4" s="4"/>
    </row>
    <row r="5" spans="1:8" ht="15.95" customHeight="1" x14ac:dyDescent="0.25">
      <c r="A5" s="4"/>
      <c r="B5" s="5"/>
      <c r="C5" s="16" t="s">
        <v>243</v>
      </c>
      <c r="D5" s="16" t="s">
        <v>244</v>
      </c>
      <c r="E5" s="16" t="s">
        <v>80</v>
      </c>
      <c r="F5" s="16" t="s">
        <v>81</v>
      </c>
      <c r="G5" s="16" t="s">
        <v>82</v>
      </c>
      <c r="H5" s="16" t="s">
        <v>49</v>
      </c>
    </row>
    <row r="6" spans="1:8" ht="15.95" customHeight="1" x14ac:dyDescent="0.25">
      <c r="A6" s="4"/>
      <c r="B6" s="131" t="s">
        <v>259</v>
      </c>
      <c r="C6" s="132"/>
      <c r="D6" s="132"/>
      <c r="E6" s="132"/>
      <c r="F6" s="132"/>
      <c r="G6" s="132"/>
      <c r="H6" s="132"/>
    </row>
    <row r="7" spans="1:8" ht="15.95" customHeight="1" x14ac:dyDescent="0.25">
      <c r="A7" s="4"/>
      <c r="B7" s="64" t="s">
        <v>260</v>
      </c>
      <c r="C7" s="11">
        <v>1198</v>
      </c>
      <c r="D7" s="11">
        <v>1784</v>
      </c>
      <c r="E7" s="11">
        <v>1944</v>
      </c>
      <c r="F7" s="11">
        <v>416</v>
      </c>
      <c r="G7" s="11">
        <v>2853</v>
      </c>
      <c r="H7" s="11">
        <v>1487</v>
      </c>
    </row>
    <row r="8" spans="1:8" ht="15.95" customHeight="1" x14ac:dyDescent="0.25">
      <c r="A8" s="4"/>
      <c r="B8" s="64" t="s">
        <v>261</v>
      </c>
      <c r="C8" s="11">
        <v>8525</v>
      </c>
      <c r="D8" s="11">
        <v>10437</v>
      </c>
      <c r="E8" s="11">
        <v>29125</v>
      </c>
      <c r="F8" s="11">
        <v>22316</v>
      </c>
      <c r="G8" s="11">
        <v>9837</v>
      </c>
      <c r="H8" s="11">
        <v>18990</v>
      </c>
    </row>
    <row r="9" spans="1:8" ht="15.95" customHeight="1" x14ac:dyDescent="0.25">
      <c r="A9" s="4"/>
      <c r="B9" s="64" t="s">
        <v>152</v>
      </c>
      <c r="C9" s="11">
        <v>6772</v>
      </c>
      <c r="D9" s="11">
        <v>7913</v>
      </c>
      <c r="E9" s="11">
        <v>11479</v>
      </c>
      <c r="F9" s="11">
        <v>10952</v>
      </c>
      <c r="G9" s="11">
        <v>11566</v>
      </c>
      <c r="H9" s="11">
        <v>11463</v>
      </c>
    </row>
    <row r="10" spans="1:8" ht="15.95" customHeight="1" x14ac:dyDescent="0.25">
      <c r="A10" s="4"/>
      <c r="B10" s="64" t="s">
        <v>153</v>
      </c>
      <c r="C10" s="11">
        <v>7068</v>
      </c>
      <c r="D10" s="11">
        <v>8020</v>
      </c>
      <c r="E10" s="11">
        <v>9059</v>
      </c>
      <c r="F10" s="11">
        <v>8981</v>
      </c>
      <c r="G10" s="11">
        <v>10189</v>
      </c>
      <c r="H10" s="11">
        <v>10851</v>
      </c>
    </row>
    <row r="11" spans="1:8" ht="15.95" customHeight="1" x14ac:dyDescent="0.25">
      <c r="A11" s="4"/>
      <c r="B11" s="64" t="s">
        <v>154</v>
      </c>
      <c r="C11" s="11">
        <v>9240</v>
      </c>
      <c r="D11" s="11">
        <v>5505</v>
      </c>
      <c r="E11" s="11">
        <v>4654</v>
      </c>
      <c r="F11" s="11">
        <v>6099</v>
      </c>
      <c r="G11" s="11">
        <v>6270</v>
      </c>
      <c r="H11" s="11">
        <v>7567</v>
      </c>
    </row>
    <row r="12" spans="1:8" ht="15.95" customHeight="1" x14ac:dyDescent="0.25">
      <c r="A12" s="4"/>
      <c r="B12" s="133" t="s">
        <v>155</v>
      </c>
      <c r="C12" s="125">
        <v>32803</v>
      </c>
      <c r="D12" s="125">
        <v>33659</v>
      </c>
      <c r="E12" s="125">
        <v>56261</v>
      </c>
      <c r="F12" s="125">
        <v>48764</v>
      </c>
      <c r="G12" s="125">
        <v>40715</v>
      </c>
      <c r="H12" s="125">
        <v>50358</v>
      </c>
    </row>
    <row r="13" spans="1:8" ht="15.95" customHeight="1" x14ac:dyDescent="0.25">
      <c r="A13" s="4"/>
      <c r="B13" s="64" t="s">
        <v>157</v>
      </c>
      <c r="C13" s="11">
        <v>12969</v>
      </c>
      <c r="D13" s="11">
        <v>13116</v>
      </c>
      <c r="E13" s="11">
        <v>13508</v>
      </c>
      <c r="F13" s="11">
        <v>14177</v>
      </c>
      <c r="G13" s="11">
        <v>17693</v>
      </c>
      <c r="H13" s="11">
        <v>18393</v>
      </c>
    </row>
    <row r="14" spans="1:8" ht="15.95" customHeight="1" x14ac:dyDescent="0.25">
      <c r="A14" s="4"/>
      <c r="B14" s="64" t="s">
        <v>158</v>
      </c>
      <c r="C14" s="11">
        <v>54062</v>
      </c>
      <c r="D14" s="11">
        <v>49802</v>
      </c>
      <c r="E14" s="11">
        <v>49199</v>
      </c>
      <c r="F14" s="11">
        <v>49180</v>
      </c>
      <c r="G14" s="11">
        <v>67782</v>
      </c>
      <c r="H14" s="11">
        <v>68527</v>
      </c>
    </row>
    <row r="15" spans="1:8" ht="15.95" customHeight="1" x14ac:dyDescent="0.25">
      <c r="A15" s="4"/>
      <c r="B15" s="64" t="s">
        <v>159</v>
      </c>
      <c r="C15" s="11">
        <v>28076</v>
      </c>
      <c r="D15" s="11">
        <v>25413</v>
      </c>
      <c r="E15" s="11">
        <v>23710</v>
      </c>
      <c r="F15" s="11">
        <v>30455</v>
      </c>
      <c r="G15" s="11">
        <v>63979</v>
      </c>
      <c r="H15" s="11">
        <v>55411</v>
      </c>
    </row>
    <row r="16" spans="1:8" ht="15.95" customHeight="1" x14ac:dyDescent="0.25">
      <c r="A16" s="4"/>
      <c r="B16" s="64" t="s">
        <v>160</v>
      </c>
      <c r="C16" s="11">
        <v>39684</v>
      </c>
      <c r="D16" s="11">
        <v>32239</v>
      </c>
      <c r="E16" s="11">
        <v>28798</v>
      </c>
      <c r="F16" s="11">
        <v>54629</v>
      </c>
      <c r="G16" s="11">
        <v>36332</v>
      </c>
      <c r="H16" s="11">
        <v>20707</v>
      </c>
    </row>
    <row r="17" spans="1:8" ht="15.95" customHeight="1" x14ac:dyDescent="0.25">
      <c r="A17" s="4"/>
      <c r="B17" s="70" t="s">
        <v>161</v>
      </c>
      <c r="C17" s="134">
        <v>167594</v>
      </c>
      <c r="D17" s="134">
        <v>154229</v>
      </c>
      <c r="E17" s="134">
        <v>181476</v>
      </c>
      <c r="F17" s="134">
        <v>197205</v>
      </c>
      <c r="G17" s="134">
        <v>226501</v>
      </c>
      <c r="H17" s="134">
        <v>213396</v>
      </c>
    </row>
    <row r="18" spans="1:8" ht="15.95" customHeight="1" x14ac:dyDescent="0.25">
      <c r="A18" s="4"/>
      <c r="B18" s="64"/>
      <c r="C18" s="11"/>
      <c r="D18" s="11"/>
      <c r="E18" s="11"/>
      <c r="F18" s="11"/>
      <c r="G18" s="11"/>
      <c r="H18" s="11"/>
    </row>
    <row r="19" spans="1:8" ht="15.95" customHeight="1" x14ac:dyDescent="0.25">
      <c r="A19" s="4"/>
      <c r="B19" s="131" t="s">
        <v>162</v>
      </c>
      <c r="C19" s="132"/>
      <c r="D19" s="132"/>
      <c r="E19" s="132"/>
      <c r="F19" s="132"/>
      <c r="G19" s="132"/>
      <c r="H19" s="132"/>
    </row>
    <row r="20" spans="1:8" ht="15.95" customHeight="1" x14ac:dyDescent="0.25">
      <c r="A20" s="4"/>
      <c r="B20" s="64" t="s">
        <v>262</v>
      </c>
      <c r="C20" s="11">
        <v>16561</v>
      </c>
      <c r="D20" s="11">
        <v>2703</v>
      </c>
      <c r="E20" s="11">
        <v>2241</v>
      </c>
      <c r="F20" s="11">
        <v>2945</v>
      </c>
      <c r="G20" s="11">
        <v>10350</v>
      </c>
      <c r="H20" s="11">
        <v>6946</v>
      </c>
    </row>
    <row r="21" spans="1:8" ht="15.95" customHeight="1" x14ac:dyDescent="0.25">
      <c r="A21" s="4"/>
      <c r="B21" s="64" t="s">
        <v>164</v>
      </c>
      <c r="C21" s="11">
        <v>4402</v>
      </c>
      <c r="D21" s="11">
        <v>5261</v>
      </c>
      <c r="E21" s="11">
        <v>6844</v>
      </c>
      <c r="F21" s="11">
        <v>5578</v>
      </c>
      <c r="G21" s="11">
        <v>5578</v>
      </c>
      <c r="H21" s="11">
        <v>5633</v>
      </c>
    </row>
    <row r="22" spans="1:8" ht="15.95" customHeight="1" x14ac:dyDescent="0.25">
      <c r="A22" s="4"/>
      <c r="B22" s="64" t="s">
        <v>165</v>
      </c>
      <c r="C22" s="11">
        <v>16341</v>
      </c>
      <c r="D22" s="11">
        <v>14851</v>
      </c>
      <c r="E22" s="11">
        <v>19703</v>
      </c>
      <c r="F22" s="11">
        <v>20413</v>
      </c>
      <c r="G22" s="11">
        <v>28289</v>
      </c>
      <c r="H22" s="11">
        <v>30416</v>
      </c>
    </row>
    <row r="23" spans="1:8" ht="15.95" customHeight="1" x14ac:dyDescent="0.25">
      <c r="A23" s="4"/>
      <c r="B23" s="74" t="s">
        <v>166</v>
      </c>
      <c r="C23" s="130">
        <v>37304</v>
      </c>
      <c r="D23" s="130">
        <v>22815</v>
      </c>
      <c r="E23" s="130">
        <v>28788</v>
      </c>
      <c r="F23" s="130">
        <v>28936</v>
      </c>
      <c r="G23" s="130">
        <v>44217</v>
      </c>
      <c r="H23" s="130">
        <v>42995</v>
      </c>
    </row>
    <row r="24" spans="1:8" ht="15.95" customHeight="1" x14ac:dyDescent="0.25">
      <c r="A24" s="4"/>
      <c r="B24" s="64" t="s">
        <v>167</v>
      </c>
      <c r="C24" s="11">
        <v>35955</v>
      </c>
      <c r="D24" s="11">
        <v>37133</v>
      </c>
      <c r="E24" s="11">
        <v>36195</v>
      </c>
      <c r="F24" s="11">
        <v>32884</v>
      </c>
      <c r="G24" s="11">
        <v>61538</v>
      </c>
      <c r="H24" s="11">
        <v>57405</v>
      </c>
    </row>
    <row r="25" spans="1:8" ht="15.95" customHeight="1" x14ac:dyDescent="0.25">
      <c r="A25" s="4"/>
      <c r="B25" s="64" t="s">
        <v>168</v>
      </c>
      <c r="C25" s="11">
        <v>30889</v>
      </c>
      <c r="D25" s="11">
        <v>30808</v>
      </c>
      <c r="E25" s="11">
        <v>39030</v>
      </c>
      <c r="F25" s="11">
        <v>39468</v>
      </c>
      <c r="G25" s="11">
        <v>31458</v>
      </c>
      <c r="H25" s="11">
        <v>24499</v>
      </c>
    </row>
    <row r="26" spans="1:8" ht="15.95" customHeight="1" x14ac:dyDescent="0.25">
      <c r="A26" s="4"/>
      <c r="B26" s="133" t="s">
        <v>169</v>
      </c>
      <c r="C26" s="125">
        <v>104148</v>
      </c>
      <c r="D26" s="125">
        <v>90756</v>
      </c>
      <c r="E26" s="125">
        <v>104013</v>
      </c>
      <c r="F26" s="125">
        <v>101288</v>
      </c>
      <c r="G26" s="125">
        <v>137213</v>
      </c>
      <c r="H26" s="125">
        <v>124899</v>
      </c>
    </row>
    <row r="27" spans="1:8" ht="15.95" customHeight="1" x14ac:dyDescent="0.25">
      <c r="A27" s="4"/>
      <c r="B27" s="64"/>
      <c r="C27" s="11"/>
      <c r="D27" s="11"/>
      <c r="E27" s="11"/>
      <c r="F27" s="11"/>
      <c r="G27" s="11"/>
      <c r="H27" s="11"/>
    </row>
    <row r="28" spans="1:8" ht="15.95" customHeight="1" x14ac:dyDescent="0.25">
      <c r="A28" s="4"/>
      <c r="B28" s="74" t="s">
        <v>171</v>
      </c>
      <c r="C28" s="130">
        <v>63447</v>
      </c>
      <c r="D28" s="130">
        <v>63473</v>
      </c>
      <c r="E28" s="130">
        <v>77462</v>
      </c>
      <c r="F28" s="130">
        <v>95916</v>
      </c>
      <c r="G28" s="130">
        <v>89288</v>
      </c>
      <c r="H28" s="130">
        <v>88497</v>
      </c>
    </row>
    <row r="29" spans="1:8" ht="15.95" customHeight="1" thickBot="1" x14ac:dyDescent="0.3">
      <c r="A29" s="4"/>
      <c r="B29" s="76" t="s">
        <v>172</v>
      </c>
      <c r="C29" s="135">
        <v>167594</v>
      </c>
      <c r="D29" s="135">
        <v>154229</v>
      </c>
      <c r="E29" s="135">
        <v>181476</v>
      </c>
      <c r="F29" s="135">
        <v>197205</v>
      </c>
      <c r="G29" s="135">
        <v>226501</v>
      </c>
      <c r="H29" s="135">
        <v>213396</v>
      </c>
    </row>
    <row r="30" spans="1:8" ht="15.95" customHeight="1" thickTop="1" x14ac:dyDescent="0.25">
      <c r="A30" s="4"/>
      <c r="B30" s="64"/>
      <c r="C30" s="11"/>
      <c r="D30" s="11"/>
      <c r="E30" s="11"/>
      <c r="F30" s="11"/>
      <c r="G30" s="11"/>
      <c r="H30" s="11"/>
    </row>
    <row r="31" spans="1:8" ht="15.95" customHeight="1" x14ac:dyDescent="0.25">
      <c r="A31" s="4"/>
      <c r="B31" s="64" t="s">
        <v>173</v>
      </c>
      <c r="C31" s="11">
        <f t="shared" ref="C31:H31" si="0">C17-C29</f>
        <v>0</v>
      </c>
      <c r="D31" s="11">
        <f t="shared" si="0"/>
        <v>0</v>
      </c>
      <c r="E31" s="11">
        <f t="shared" si="0"/>
        <v>0</v>
      </c>
      <c r="F31" s="11">
        <f t="shared" si="0"/>
        <v>0</v>
      </c>
      <c r="G31" s="11">
        <f t="shared" si="0"/>
        <v>0</v>
      </c>
      <c r="H31" s="11">
        <f t="shared" si="0"/>
        <v>0</v>
      </c>
    </row>
    <row r="32" spans="1:8" ht="15.95" customHeight="1" x14ac:dyDescent="0.25">
      <c r="A32" s="4"/>
      <c r="B32" s="1"/>
      <c r="C32" s="4"/>
      <c r="D32" s="4"/>
      <c r="E32" s="4"/>
      <c r="F32" s="4"/>
      <c r="G32" s="4"/>
      <c r="H32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H33"/>
  <sheetViews>
    <sheetView showGridLines="0" topLeftCell="C6" workbookViewId="0">
      <pane xSplit="2" ySplit="5" topLeftCell="C6" activePane="bottomRight" state="frozen"/>
      <selection pane="topRight" activeCell="D6" sqref="D6"/>
      <selection pane="bottomLeft" activeCell="C7" sqref="C7"/>
      <selection pane="bottomRight"/>
    </sheetView>
  </sheetViews>
  <sheetFormatPr defaultRowHeight="15" x14ac:dyDescent="0.25"/>
  <cols>
    <col min="1" max="1" width="2" customWidth="1"/>
    <col min="2" max="2" width="52" customWidth="1"/>
    <col min="3" max="12" width="13" customWidth="1"/>
  </cols>
  <sheetData>
    <row r="1" spans="1:8" ht="15.95" customHeight="1" x14ac:dyDescent="0.25">
      <c r="A1" s="1"/>
      <c r="B1" s="1"/>
      <c r="C1" s="1"/>
      <c r="D1" s="1"/>
      <c r="E1" s="1"/>
      <c r="F1" s="1"/>
      <c r="G1" s="1"/>
      <c r="H1" s="1"/>
    </row>
    <row r="2" spans="1:8" ht="21.95" customHeight="1" x14ac:dyDescent="0.25">
      <c r="A2" s="1"/>
      <c r="B2" s="2" t="s">
        <v>263</v>
      </c>
      <c r="C2" s="1"/>
      <c r="D2" s="1"/>
      <c r="E2" s="1"/>
      <c r="F2" s="1"/>
      <c r="G2" s="1"/>
      <c r="H2" s="1"/>
    </row>
    <row r="3" spans="1:8" ht="15.95" customHeight="1" x14ac:dyDescent="0.25">
      <c r="A3" s="1"/>
      <c r="B3" s="3" t="s">
        <v>149</v>
      </c>
      <c r="C3" s="1"/>
      <c r="D3" s="1"/>
      <c r="E3" s="1"/>
      <c r="F3" s="1"/>
      <c r="G3" s="1"/>
      <c r="H3" s="1"/>
    </row>
    <row r="4" spans="1:8" ht="15.95" customHeight="1" x14ac:dyDescent="0.25">
      <c r="A4" s="4"/>
      <c r="B4" s="1"/>
      <c r="C4" s="4"/>
      <c r="D4" s="4"/>
      <c r="E4" s="4"/>
      <c r="F4" s="4"/>
      <c r="G4" s="4"/>
      <c r="H4" s="4"/>
    </row>
    <row r="5" spans="1:8" ht="15.95" customHeight="1" x14ac:dyDescent="0.25">
      <c r="A5" s="4"/>
      <c r="B5" s="5"/>
      <c r="C5" s="16" t="s">
        <v>243</v>
      </c>
      <c r="D5" s="16" t="s">
        <v>244</v>
      </c>
      <c r="E5" s="16" t="s">
        <v>80</v>
      </c>
      <c r="F5" s="16" t="s">
        <v>81</v>
      </c>
      <c r="G5" s="16" t="s">
        <v>82</v>
      </c>
      <c r="H5" s="16" t="s">
        <v>49</v>
      </c>
    </row>
    <row r="6" spans="1:8" ht="15.95" customHeight="1" x14ac:dyDescent="0.25">
      <c r="A6" s="4"/>
      <c r="B6" s="131" t="s">
        <v>175</v>
      </c>
      <c r="C6" s="132"/>
      <c r="D6" s="132"/>
      <c r="E6" s="132"/>
      <c r="F6" s="132"/>
      <c r="G6" s="132"/>
      <c r="H6" s="132"/>
    </row>
    <row r="7" spans="1:8" ht="15.95" customHeight="1" x14ac:dyDescent="0.25">
      <c r="A7" s="4"/>
      <c r="B7" s="64" t="s">
        <v>145</v>
      </c>
      <c r="C7" s="11">
        <v>16273</v>
      </c>
      <c r="D7" s="11">
        <v>9616</v>
      </c>
      <c r="E7" s="11">
        <v>21979</v>
      </c>
      <c r="F7" s="11">
        <v>31372</v>
      </c>
      <c r="G7" s="11">
        <v>2119</v>
      </c>
      <c r="H7" s="11">
        <v>8062</v>
      </c>
    </row>
    <row r="8" spans="1:8" ht="15.95" customHeight="1" x14ac:dyDescent="0.25">
      <c r="A8" s="4"/>
      <c r="B8" s="64" t="s">
        <v>264</v>
      </c>
      <c r="C8" s="11">
        <v>6076</v>
      </c>
      <c r="D8" s="11">
        <v>4681</v>
      </c>
      <c r="E8" s="11">
        <v>5191</v>
      </c>
      <c r="F8" s="11">
        <v>5064</v>
      </c>
      <c r="G8" s="11">
        <v>6290</v>
      </c>
      <c r="H8" s="11">
        <v>7013</v>
      </c>
    </row>
    <row r="9" spans="1:8" ht="15.95" customHeight="1" x14ac:dyDescent="0.25">
      <c r="A9" s="4"/>
      <c r="B9" s="64" t="s">
        <v>177</v>
      </c>
      <c r="C9" s="11">
        <v>556</v>
      </c>
      <c r="D9" s="11">
        <v>612</v>
      </c>
      <c r="E9" s="11">
        <v>616</v>
      </c>
      <c r="F9" s="11">
        <v>536</v>
      </c>
      <c r="G9" s="11">
        <v>714</v>
      </c>
      <c r="H9" s="11">
        <v>877</v>
      </c>
    </row>
    <row r="10" spans="1:8" ht="15.95" customHeight="1" x14ac:dyDescent="0.25">
      <c r="A10" s="4"/>
      <c r="B10" s="64" t="s">
        <v>265</v>
      </c>
      <c r="C10" s="11">
        <v>-6039</v>
      </c>
      <c r="D10" s="11">
        <v>-1221</v>
      </c>
      <c r="E10" s="11">
        <v>-2196</v>
      </c>
      <c r="F10" s="11">
        <v>-4204</v>
      </c>
      <c r="G10" s="11">
        <v>3168</v>
      </c>
      <c r="H10" s="11">
        <v>-2102</v>
      </c>
    </row>
    <row r="11" spans="1:8" ht="15.95" customHeight="1" x14ac:dyDescent="0.25">
      <c r="A11" s="4"/>
      <c r="B11" s="64" t="s">
        <v>266</v>
      </c>
      <c r="C11" s="11"/>
      <c r="D11" s="11"/>
      <c r="E11" s="11"/>
      <c r="F11" s="11"/>
      <c r="G11" s="11"/>
      <c r="H11" s="11"/>
    </row>
    <row r="12" spans="1:8" ht="15.95" customHeight="1" x14ac:dyDescent="0.25">
      <c r="A12" s="4"/>
      <c r="B12" s="64" t="s">
        <v>267</v>
      </c>
      <c r="C12" s="11">
        <v>1065</v>
      </c>
      <c r="D12" s="11">
        <v>-955</v>
      </c>
      <c r="E12" s="11">
        <v>-3614</v>
      </c>
      <c r="F12" s="11">
        <v>621</v>
      </c>
      <c r="G12" s="11">
        <v>-791</v>
      </c>
      <c r="H12" s="11">
        <v>-109</v>
      </c>
    </row>
    <row r="13" spans="1:8" ht="15.95" customHeight="1" x14ac:dyDescent="0.25">
      <c r="A13" s="4"/>
      <c r="B13" s="64" t="s">
        <v>268</v>
      </c>
      <c r="C13" s="11">
        <v>-459</v>
      </c>
      <c r="D13" s="11">
        <v>-987</v>
      </c>
      <c r="E13" s="11">
        <v>-1060</v>
      </c>
      <c r="F13" s="11">
        <v>70</v>
      </c>
      <c r="G13" s="11">
        <v>-1741</v>
      </c>
      <c r="H13" s="11">
        <v>-854</v>
      </c>
    </row>
    <row r="14" spans="1:8" ht="15.95" customHeight="1" x14ac:dyDescent="0.25">
      <c r="A14" s="4"/>
      <c r="B14" s="64" t="s">
        <v>269</v>
      </c>
      <c r="C14" s="11">
        <v>-2095</v>
      </c>
      <c r="D14" s="11">
        <v>3175</v>
      </c>
      <c r="E14" s="11">
        <v>2740</v>
      </c>
      <c r="F14" s="11">
        <v>-3145</v>
      </c>
      <c r="G14" s="11">
        <v>1485</v>
      </c>
      <c r="H14" s="11">
        <v>-2103</v>
      </c>
    </row>
    <row r="15" spans="1:8" ht="15.95" customHeight="1" x14ac:dyDescent="0.25">
      <c r="A15" s="4"/>
      <c r="B15" s="64" t="s">
        <v>270</v>
      </c>
      <c r="C15" s="11">
        <v>-1489</v>
      </c>
      <c r="D15" s="11">
        <v>1233</v>
      </c>
      <c r="E15" s="11">
        <v>-1934</v>
      </c>
      <c r="F15" s="11">
        <v>-2454</v>
      </c>
      <c r="G15" s="11">
        <v>-1047</v>
      </c>
      <c r="H15" s="11">
        <v>-3066</v>
      </c>
    </row>
    <row r="16" spans="1:8" ht="15.95" customHeight="1" x14ac:dyDescent="0.25">
      <c r="A16" s="4"/>
      <c r="B16" s="64" t="s">
        <v>179</v>
      </c>
      <c r="C16" s="11">
        <v>-3074</v>
      </c>
      <c r="D16" s="11">
        <v>-518</v>
      </c>
      <c r="E16" s="11">
        <v>8924</v>
      </c>
      <c r="F16" s="11">
        <v>-1047</v>
      </c>
      <c r="G16" s="11">
        <v>-2544</v>
      </c>
      <c r="H16" s="11">
        <v>1858</v>
      </c>
    </row>
    <row r="17" spans="1:8" ht="15.95" customHeight="1" x14ac:dyDescent="0.25">
      <c r="A17" s="4"/>
      <c r="B17" s="70" t="s">
        <v>180</v>
      </c>
      <c r="C17" s="134">
        <v>12303</v>
      </c>
      <c r="D17" s="134">
        <v>14403</v>
      </c>
      <c r="E17" s="134">
        <v>32580</v>
      </c>
      <c r="F17" s="134">
        <v>29267</v>
      </c>
      <c r="G17" s="134">
        <v>8700</v>
      </c>
      <c r="H17" s="134">
        <v>12744</v>
      </c>
    </row>
    <row r="18" spans="1:8" ht="15.95" customHeight="1" x14ac:dyDescent="0.25">
      <c r="A18" s="4"/>
      <c r="B18" s="64"/>
      <c r="C18" s="11"/>
      <c r="D18" s="11"/>
      <c r="E18" s="11"/>
      <c r="F18" s="11"/>
      <c r="G18" s="11"/>
      <c r="H18" s="11"/>
    </row>
    <row r="19" spans="1:8" ht="15.95" customHeight="1" x14ac:dyDescent="0.25">
      <c r="A19" s="4"/>
      <c r="B19" s="131" t="s">
        <v>182</v>
      </c>
      <c r="C19" s="132"/>
      <c r="D19" s="132"/>
      <c r="E19" s="132"/>
      <c r="F19" s="132"/>
      <c r="G19" s="132"/>
      <c r="H19" s="132"/>
    </row>
    <row r="20" spans="1:8" ht="15.95" customHeight="1" x14ac:dyDescent="0.25">
      <c r="A20" s="4"/>
      <c r="B20" s="64" t="s">
        <v>183</v>
      </c>
      <c r="C20" s="11">
        <v>-1744</v>
      </c>
      <c r="D20" s="11">
        <v>-2226</v>
      </c>
      <c r="E20" s="11">
        <v>-2711</v>
      </c>
      <c r="F20" s="11">
        <v>-3236</v>
      </c>
      <c r="G20" s="11">
        <v>-3907</v>
      </c>
      <c r="H20" s="11">
        <v>-2909</v>
      </c>
    </row>
    <row r="21" spans="1:8" ht="15.95" customHeight="1" x14ac:dyDescent="0.25">
      <c r="A21" s="4"/>
      <c r="B21" s="64" t="s">
        <v>271</v>
      </c>
      <c r="C21" s="11">
        <v>-10279</v>
      </c>
      <c r="D21" s="11">
        <v>-214</v>
      </c>
      <c r="E21" s="11">
        <v>-2130</v>
      </c>
      <c r="F21" s="11">
        <v>-1368</v>
      </c>
      <c r="G21" s="11">
        <v>-42649</v>
      </c>
      <c r="H21" s="11">
        <v>0</v>
      </c>
    </row>
    <row r="22" spans="1:8" ht="15.95" customHeight="1" x14ac:dyDescent="0.25">
      <c r="A22" s="4"/>
      <c r="B22" s="64" t="s">
        <v>272</v>
      </c>
      <c r="C22" s="11">
        <v>-1052</v>
      </c>
      <c r="D22" s="11">
        <v>-1831</v>
      </c>
      <c r="E22" s="11">
        <v>-17705</v>
      </c>
      <c r="F22" s="11">
        <v>-11179</v>
      </c>
      <c r="G22" s="11">
        <v>14278</v>
      </c>
      <c r="H22" s="11">
        <v>5561</v>
      </c>
    </row>
    <row r="23" spans="1:8" ht="15.95" customHeight="1" x14ac:dyDescent="0.25">
      <c r="A23" s="4"/>
      <c r="B23" s="70" t="s">
        <v>184</v>
      </c>
      <c r="C23" s="134">
        <v>-13075</v>
      </c>
      <c r="D23" s="134">
        <v>-4271</v>
      </c>
      <c r="E23" s="134">
        <v>-22546</v>
      </c>
      <c r="F23" s="134">
        <v>-15783</v>
      </c>
      <c r="G23" s="134">
        <v>-32278</v>
      </c>
      <c r="H23" s="134">
        <v>2652</v>
      </c>
    </row>
    <row r="24" spans="1:8" ht="15.95" customHeight="1" x14ac:dyDescent="0.25">
      <c r="A24" s="4"/>
      <c r="B24" s="64"/>
      <c r="C24" s="11"/>
      <c r="D24" s="11"/>
      <c r="E24" s="11"/>
      <c r="F24" s="11"/>
      <c r="G24" s="11"/>
      <c r="H24" s="11"/>
    </row>
    <row r="25" spans="1:8" ht="15.95" customHeight="1" x14ac:dyDescent="0.25">
      <c r="A25" s="4"/>
      <c r="B25" s="131" t="s">
        <v>185</v>
      </c>
      <c r="C25" s="132"/>
      <c r="D25" s="132"/>
      <c r="E25" s="132"/>
      <c r="F25" s="132"/>
      <c r="G25" s="132"/>
      <c r="H25" s="132"/>
    </row>
    <row r="26" spans="1:8" ht="15.95" customHeight="1" x14ac:dyDescent="0.25">
      <c r="A26" s="4"/>
      <c r="B26" s="64" t="s">
        <v>186</v>
      </c>
      <c r="C26" s="11">
        <v>-8089</v>
      </c>
      <c r="D26" s="11">
        <v>-8441</v>
      </c>
      <c r="E26" s="11">
        <v>-8635</v>
      </c>
      <c r="F26" s="11">
        <v>-9177</v>
      </c>
      <c r="G26" s="11">
        <v>-9364</v>
      </c>
      <c r="H26" s="11">
        <v>-9512</v>
      </c>
    </row>
    <row r="27" spans="1:8" ht="15.95" customHeight="1" x14ac:dyDescent="0.25">
      <c r="A27" s="4"/>
      <c r="B27" s="64" t="s">
        <v>111</v>
      </c>
      <c r="C27" s="11">
        <v>-8861</v>
      </c>
      <c r="D27" s="11">
        <v>-1243</v>
      </c>
      <c r="E27" s="11">
        <v>-2114</v>
      </c>
      <c r="F27" s="11">
        <v>-3283</v>
      </c>
      <c r="G27" s="11">
        <v>-2000</v>
      </c>
      <c r="H27" s="11">
        <v>0</v>
      </c>
    </row>
    <row r="28" spans="1:8" ht="15.95" customHeight="1" x14ac:dyDescent="0.25">
      <c r="A28" s="4"/>
      <c r="B28" s="64" t="s">
        <v>273</v>
      </c>
      <c r="C28" s="11">
        <v>8543</v>
      </c>
      <c r="D28" s="11">
        <v>-2116</v>
      </c>
      <c r="E28" s="11">
        <v>-1020</v>
      </c>
      <c r="F28" s="11">
        <v>-5284</v>
      </c>
      <c r="G28" s="11">
        <v>38729</v>
      </c>
      <c r="H28" s="11">
        <v>-7159</v>
      </c>
    </row>
    <row r="29" spans="1:8" ht="15.95" customHeight="1" x14ac:dyDescent="0.25">
      <c r="A29" s="4"/>
      <c r="B29" s="64" t="s">
        <v>274</v>
      </c>
      <c r="C29" s="11">
        <v>-277</v>
      </c>
      <c r="D29" s="11">
        <v>-1849</v>
      </c>
      <c r="E29" s="11">
        <v>1953</v>
      </c>
      <c r="F29" s="11">
        <v>-1090</v>
      </c>
      <c r="G29" s="11">
        <v>-1299</v>
      </c>
      <c r="H29" s="11">
        <v>-469</v>
      </c>
    </row>
    <row r="30" spans="1:8" ht="15.95" customHeight="1" x14ac:dyDescent="0.25">
      <c r="A30" s="4"/>
      <c r="B30" s="70" t="s">
        <v>188</v>
      </c>
      <c r="C30" s="134">
        <v>-8684</v>
      </c>
      <c r="D30" s="134">
        <v>-9649</v>
      </c>
      <c r="E30" s="134">
        <v>-9816</v>
      </c>
      <c r="F30" s="134">
        <v>-14834</v>
      </c>
      <c r="G30" s="134">
        <v>26066</v>
      </c>
      <c r="H30" s="134">
        <v>-17140</v>
      </c>
    </row>
    <row r="31" spans="1:8" ht="15.95" customHeight="1" x14ac:dyDescent="0.25">
      <c r="A31" s="4"/>
      <c r="B31" s="64"/>
      <c r="C31" s="11"/>
      <c r="D31" s="11"/>
      <c r="E31" s="11"/>
      <c r="F31" s="11"/>
      <c r="G31" s="11"/>
      <c r="H31" s="11"/>
    </row>
    <row r="32" spans="1:8" ht="15.95" customHeight="1" thickBot="1" x14ac:dyDescent="0.3">
      <c r="A32" s="4"/>
      <c r="B32" s="76" t="s">
        <v>189</v>
      </c>
      <c r="C32" s="135">
        <v>586</v>
      </c>
      <c r="D32" s="135">
        <v>586</v>
      </c>
      <c r="E32" s="135">
        <v>-36</v>
      </c>
      <c r="F32" s="135">
        <v>-1528</v>
      </c>
      <c r="G32" s="135">
        <v>2437</v>
      </c>
      <c r="H32" s="135">
        <v>-1810</v>
      </c>
    </row>
    <row r="33" ht="15.75" customHeight="1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Assumptions</vt:lpstr>
      <vt:lpstr>Income Statement</vt:lpstr>
      <vt:lpstr>Balance Sheet</vt:lpstr>
      <vt:lpstr>Cash Flow Statement</vt:lpstr>
      <vt:lpstr>Working Capital</vt:lpstr>
      <vt:lpstr>Debt Schedule</vt:lpstr>
      <vt:lpstr>DCF</vt:lpstr>
      <vt:lpstr>Comps</vt:lpstr>
      <vt:lpstr>IS_Raw</vt:lpstr>
      <vt:lpstr>BS_Raw</vt:lpstr>
      <vt:lpstr>CF_Raw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mahmood</dc:creator>
  <cp:lastModifiedBy>asad mahmood</cp:lastModifiedBy>
  <dcterms:created xsi:type="dcterms:W3CDTF">2026-03-09T15:46:55Z</dcterms:created>
  <dcterms:modified xsi:type="dcterms:W3CDTF">2026-03-09T20:58:32Z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f0544308-bb8e-470c-b805-c05bad6c7b2f</vt:lpwstr>
  </property>
</Properties>
</file>